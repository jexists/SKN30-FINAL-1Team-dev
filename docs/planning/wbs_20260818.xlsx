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laydata2\Downloads\"/>
    </mc:Choice>
  </mc:AlternateContent>
  <xr:revisionPtr revIDLastSave="0" documentId="13_ncr:1_{2F4F7AB2-CA21-4FF4-8170-426715D477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시트1" sheetId="1" r:id="rId1"/>
    <sheet name="산출물·마일스톤" sheetId="2" r:id="rId2"/>
    <sheet name="요구사항 추적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3" l="1"/>
  <c r="E13" i="3"/>
  <c r="D13" i="3"/>
  <c r="C13" i="3"/>
  <c r="G13" i="3" s="1"/>
</calcChain>
</file>

<file path=xl/sharedStrings.xml><?xml version="1.0" encoding="utf-8"?>
<sst xmlns="http://schemas.openxmlformats.org/spreadsheetml/2006/main" count="263" uniqueCount="169">
  <si>
    <t>요구영역</t>
  </si>
  <si>
    <t>주차</t>
  </si>
  <si>
    <t>기간</t>
  </si>
  <si>
    <t>핵심 목표</t>
  </si>
  <si>
    <t>주요 산출물</t>
  </si>
  <si>
    <t>마일스톤</t>
  </si>
  <si>
    <t>1W</t>
  </si>
  <si>
    <t>요구사항 ID</t>
  </si>
  <si>
    <t>완료</t>
  </si>
  <si>
    <t>8/3~8/7</t>
  </si>
  <si>
    <t>이번</t>
  </si>
  <si>
    <t>기획 완료</t>
  </si>
  <si>
    <t>후속</t>
  </si>
  <si>
    <t>요구사항 정의서, WBS, 프로젝트 기획서</t>
  </si>
  <si>
    <t>보류</t>
  </si>
  <si>
    <t>연결 Task ID</t>
  </si>
  <si>
    <t>8/7 기획 완료</t>
  </si>
  <si>
    <t>반영 기준</t>
  </si>
  <si>
    <t>2W</t>
  </si>
  <si>
    <t>8/10~8/14</t>
  </si>
  <si>
    <t>데이터 기반 구축</t>
  </si>
  <si>
    <t>수집 데이터 보고서, DB·저장소 설계 문서</t>
  </si>
  <si>
    <t>8/14 데이터 기반 완료</t>
  </si>
  <si>
    <t>사용자·권한</t>
  </si>
  <si>
    <t>3W</t>
  </si>
  <si>
    <t>8/18~8/21</t>
  </si>
  <si>
    <t>USR-001~004</t>
  </si>
  <si>
    <t>전처리·학습 완료 / 모델링 착수</t>
  </si>
  <si>
    <t>중간 발표 PT, 전처리 결과, 학습결과·모델</t>
  </si>
  <si>
    <t>8/18 중간 발표 · 8/21 학습 완료</t>
  </si>
  <si>
    <t>4W</t>
  </si>
  <si>
    <t>8/24~8/28</t>
  </si>
  <si>
    <t>모델링 진행 / 개발 착수</t>
  </si>
  <si>
    <t>AI 시스템 아키텍처, 화면설계서</t>
  </si>
  <si>
    <t>개발 착수</t>
  </si>
  <si>
    <t>5W</t>
  </si>
  <si>
    <t>8/31~9/4</t>
  </si>
  <si>
    <t>모델링 평가 완료 / 통합</t>
  </si>
  <si>
    <t>Vector·Graph DB 결과, 모델 평가, Agent 테스트 결과</t>
  </si>
  <si>
    <t>9/4 모델링 완료</t>
  </si>
  <si>
    <t>6W</t>
  </si>
  <si>
    <t>9/7~9/11</t>
  </si>
  <si>
    <t>서비스 완성·배포 검증</t>
  </si>
  <si>
    <t>웹앱, 시스템 구성도, 서비스 테스트 결과</t>
  </si>
  <si>
    <t>9/11 배포 완료</t>
  </si>
  <si>
    <t>7W</t>
  </si>
  <si>
    <t>9/14~9/18</t>
  </si>
  <si>
    <t>최종 발표·제출</t>
  </si>
  <si>
    <t>Task ID</t>
  </si>
  <si>
    <t>최종 발표 PT, 소스코드, 시연영상</t>
  </si>
  <si>
    <t>9/17 발표 · 9/18 제출</t>
  </si>
  <si>
    <t>001~002, 005, 016, 021</t>
  </si>
  <si>
    <t>완료 기능 회귀검증, USR-004 데이터·권한 구현</t>
  </si>
  <si>
    <t>고객 관리</t>
  </si>
  <si>
    <t>CRM-001~005</t>
  </si>
  <si>
    <t>001, 007, 015~017, 022</t>
  </si>
  <si>
    <t>CRM-004 이번 구현, CRM-005 후속 인터페이스 추적</t>
  </si>
  <si>
    <t>일정 관리</t>
  </si>
  <si>
    <t>ACT-001~006</t>
  </si>
  <si>
    <t>주요 업무</t>
  </si>
  <si>
    <t>ACT-002~004 이번 구현, ACT-006 후속</t>
  </si>
  <si>
    <t>영업 딜</t>
  </si>
  <si>
    <t>SAL-001~010</t>
  </si>
  <si>
    <t>001, 007~009, 012, 015~017</t>
  </si>
  <si>
    <t>세부 업무</t>
  </si>
  <si>
    <t>이번 구현 7건 우선; SAL-010 AI 모델링, SAL-003/004 후속</t>
  </si>
  <si>
    <t>발주 관리</t>
  </si>
  <si>
    <t>ORD-001~004</t>
  </si>
  <si>
    <t>담당자</t>
  </si>
  <si>
    <t>001, 005, 015~017, 021~022</t>
  </si>
  <si>
    <t>딜 연결·상태·품목·단계 이동을 이번 구현</t>
  </si>
  <si>
    <t>C/S 관리</t>
  </si>
  <si>
    <t>SUP-001~004</t>
  </si>
  <si>
    <t>상태</t>
  </si>
  <si>
    <t>001, 012, 015~017, 022</t>
  </si>
  <si>
    <t>시작일</t>
  </si>
  <si>
    <t>기존 CRUD 회귀검증, SUP-004 AI 후보 검토 모델링</t>
  </si>
  <si>
    <t>대시보드</t>
  </si>
  <si>
    <t>DSH-001~003</t>
  </si>
  <si>
    <t>마감일</t>
  </si>
  <si>
    <t>001, 015, 024</t>
  </si>
  <si>
    <t>이번 개발에는 추가하지 않고 후속 데이터 계약만 추적</t>
  </si>
  <si>
    <t>팀장 설정</t>
  </si>
  <si>
    <t>SET-001~006</t>
  </si>
  <si>
    <t>001, 015~017, 021</t>
  </si>
  <si>
    <t>SET-002/004~006 우선; 설정 UI·단계 편집 후속</t>
  </si>
  <si>
    <t>LLM·Agent</t>
  </si>
  <si>
    <t>AI-001~005</t>
  </si>
  <si>
    <t>008~014, 018, 022</t>
  </si>
  <si>
    <t>AI-001/003/004는 타임라인 반영; 전체 orchestration 보류</t>
  </si>
  <si>
    <t>데이터베이스</t>
  </si>
  <si>
    <t>DAT-001~005</t>
  </si>
  <si>
    <t>004~007, 021</t>
  </si>
  <si>
    <t>DAT-001~004 기반 구축; 파일 업로드·Storage 정책 보류</t>
  </si>
  <si>
    <t>001</t>
  </si>
  <si>
    <t>보안·비기능</t>
  </si>
  <si>
    <t>SEC-001~004, NFR-001~005</t>
  </si>
  <si>
    <t>001, 006, 015~023, 024</t>
  </si>
  <si>
    <t>보안·API·UI·자동검증 반영; NFR-005 제외 기능 미개발</t>
  </si>
  <si>
    <t>합계</t>
  </si>
  <si>
    <t>기획</t>
  </si>
  <si>
    <t>1.1 요구사항·범위 분석 — 61개 요구사항의 구현 완료·이번·후속·보류와 수용기준을 확정</t>
  </si>
  <si>
    <t>천성배</t>
  </si>
  <si>
    <t>높음</t>
  </si>
  <si>
    <t>002</t>
  </si>
  <si>
    <t>1.2 일정·의존성 계획 — 데이터→AI→개발→QA 순서, 병렬 작업, 핵심 마일스톤을 배치</t>
  </si>
  <si>
    <t>박제섭</t>
  </si>
  <si>
    <t>003</t>
  </si>
  <si>
    <t>1.3 프로젝트·산출물 계획 — WBS 작업과 제출 산출물의 연결 및 검수 체계를 정리</t>
  </si>
  <si>
    <t>정주애</t>
  </si>
  <si>
    <t>보통</t>
  </si>
  <si>
    <t>004</t>
  </si>
  <si>
    <t>데이터 수집·저장</t>
  </si>
  <si>
    <t>2.1 데이터·ERD 분석 — PostgreSQL 26테이블·266컬럼·64 FK와 업무 관계 점검 (DAT-001~004)</t>
  </si>
  <si>
    <t>005</t>
  </si>
  <si>
    <t>2.2 수집·합성 데이터 구축 — filled/empty 팀과 고객·일정·딜·발주·C/S 데이터를 구축 (USR-004)</t>
  </si>
  <si>
    <t>박지유</t>
  </si>
  <si>
    <t>006</t>
  </si>
  <si>
    <t>2.3 DB·저장소 설계·검증 — append-only SQL, ORM/ERD 일치, 관계 무결성·원자성 검증</t>
  </si>
  <si>
    <t>007</t>
  </si>
  <si>
    <t>데이터 전처리·학습</t>
  </si>
  <si>
    <t>3.1 데이터 전처리 — UUID 관계, 영업 단계·날짜 의미, 미팅 원문과 결측값을 정제</t>
  </si>
  <si>
    <t>진행 중</t>
  </si>
  <si>
    <t>008</t>
  </si>
  <si>
    <t>3.2 학습 데이터·특징 구축 — C/S 후보와 딜 평가 10개 특성·정답 기준 구조화 (AI-003~004)</t>
  </si>
  <si>
    <t>009</t>
  </si>
  <si>
    <t>3.3 ML/DL 모델 학습 — 딜 승산 점수, model_version, 재분석 이력을 분리 저장 (AI-004)</t>
  </si>
  <si>
    <t>010</t>
  </si>
  <si>
    <t>3.4 중간 발표·학습 마감 — 8/18 발표 후 전처리·학습 결과를 8/21까지 보완·확정</t>
  </si>
  <si>
    <t>011</t>
  </si>
  <si>
    <t>모델링·평가</t>
  </si>
  <si>
    <t>4.1 AI 시스템·실행이력 설계 — 단일 LLM 호출과 agent_run의 append-only 기록 구조 설계</t>
  </si>
  <si>
    <t>012</t>
  </si>
  <si>
    <t>4.2 미팅 분석·딜 점수 모델링 — 결과 계약, C/S 후보 검토, 최신 딜 점수 조회 흐름 모델링</t>
  </si>
  <si>
    <t>013</t>
  </si>
  <si>
    <t>4.3 Vector/Graph DB 적용 검토 — 실행 계보·업무 관계 기반 최소 적용 구조 및 구축 결과 정리</t>
  </si>
  <si>
    <t>예정</t>
  </si>
  <si>
    <t>014</t>
  </si>
  <si>
    <t>4.4 모델 평가·Agent 경계 검증 — 성능과 API 교체 경계를 평가하고 전체 orchestration은 보류</t>
  </si>
  <si>
    <t>015</t>
  </si>
  <si>
    <t>웹 애플리케이션 개발</t>
  </si>
  <si>
    <t>5.1 화면 설계 — 고객·일정·딜·발주·C/S와 loading/error/retry/empty/pending 상태 설계</t>
  </si>
  <si>
    <t>016</t>
  </si>
  <si>
    <t>5.2 Backend·API 개발 — CRUD·영업 단계·발주 연동·팀 설정을 OpenAPI·트랜잭션 기준으로 구현</t>
  </si>
  <si>
    <t>017</t>
  </si>
  <si>
    <t>5.3 Frontend 웹 개발 — 실제 DB/API 기반 핵심 화면과 팀·역할별 조회 범위 구현</t>
  </si>
  <si>
    <t>018</t>
  </si>
  <si>
    <t>5.4 LLM 연동 — 서버 환경변수, 입력·출력 schema 검증, 실행 이력 저장을 연동</t>
  </si>
  <si>
    <t>019</t>
  </si>
  <si>
    <t>5.5 기능 통합 — Frontend·Backend·DB·AI를 UUID/FK로 통합하고 mock 혼용을 제거</t>
  </si>
  <si>
    <t>020</t>
  </si>
  <si>
    <t>통합 테스트·배포</t>
  </si>
  <si>
    <t>6.1 서비스 테스트 계획 — 요구사항 수용기준을 기능·데이터·보안·AI·배포 시나리오에 연결</t>
  </si>
  <si>
    <t>021</t>
  </si>
  <si>
    <t>6.2 데이터·보안·API 검증 — 팀 격리, 세션·Origin·비밀정보, FK·트랜잭션을 검증</t>
  </si>
  <si>
    <t>022</t>
  </si>
  <si>
    <t>6.3 통합·AI 서비스 테스트 — 사용자 흐름, 화면 상태, 모델 버전·실행 이력 자동 테스트</t>
  </si>
  <si>
    <t>023</t>
  </si>
  <si>
    <t>6.4 오류 수정·배포 검증 — 통합 결함 수정 후 웹앱·API·DB·AI 배포본을 6W 내 동결</t>
  </si>
  <si>
    <t>024</t>
  </si>
  <si>
    <t>최종 발표·산출물</t>
  </si>
  <si>
    <t>7.1 최종 산출물 검수 — 요구사항 누락, 산출물 연결, 테스트 증적, 제출 형식 점검</t>
  </si>
  <si>
    <t>025</t>
  </si>
  <si>
    <t>7.2 최종 발표 준비·발표 — 핵심 문제·해결 구조·AI 결과·서비스 시연 정리 및 9/17 발표</t>
  </si>
  <si>
    <t>026</t>
  </si>
  <si>
    <t>7.3 소스코드·시연영상 정리 — 재현 가능한 소스·설정·실행 안내와 시연영상 패키징</t>
  </si>
  <si>
    <t>027</t>
  </si>
  <si>
    <t>7.4 최종 제출·리소스 정리 — 9/18 제출 후 잔여 이슈·리소스·보류 요구사항 정리</t>
  </si>
  <si>
    <t>우선순위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</si>
</sst>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m/d/yyyy"/>
    <numFmt numFmtId="177" formatCode="m/d"/>
  </numFmts>
  <fonts count="9" x14ac:knownFonts="1">
    <font>
      <sz val="10"/>
      <color rgb="FF000000"/>
      <name val="Arial"/>
      <scheme val="minor"/>
    </font>
    <font>
      <b/>
      <sz val="10"/>
      <color rgb="FF202124"/>
      <name val="Arial"/>
    </font>
    <font>
      <sz val="9"/>
      <color rgb="FF3C4043"/>
      <name val="Arial"/>
    </font>
    <font>
      <b/>
      <sz val="10"/>
      <color rgb="FFB3261E"/>
      <name val="Arial"/>
    </font>
    <font>
      <sz val="10"/>
      <color theme="1"/>
      <name val="Arial"/>
    </font>
    <font>
      <sz val="10"/>
      <name val="Arial"/>
    </font>
    <font>
      <sz val="8"/>
      <name val="Arial"/>
      <family val="3"/>
      <charset val="129"/>
      <scheme val="minor"/>
    </font>
    <font>
      <b/>
      <sz val="10"/>
      <color theme="0"/>
      <name val="Arial"/>
      <family val="2"/>
    </font>
    <font>
      <b/>
      <sz val="10"/>
      <color theme="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1F3F4"/>
        <bgColor rgb="FFF1F3F4"/>
      </patternFill>
    </fill>
    <fill>
      <patternFill patternType="solid">
        <fgColor rgb="FFE6F4EA"/>
        <bgColor rgb="FFE6F4EA"/>
      </patternFill>
    </fill>
    <fill>
      <patternFill patternType="solid">
        <fgColor rgb="FFE8F0FE"/>
        <bgColor rgb="FFE8F0FE"/>
      </patternFill>
    </fill>
    <fill>
      <patternFill patternType="solid">
        <fgColor rgb="FFFEF7E0"/>
        <bgColor rgb="FFFEF7E0"/>
      </patternFill>
    </fill>
    <fill>
      <patternFill patternType="solid">
        <fgColor rgb="FFFCE8E6"/>
        <bgColor rgb="FFFCE8E6"/>
      </patternFill>
    </fill>
    <fill>
      <patternFill patternType="solid">
        <fgColor rgb="FF000000"/>
        <bgColor rgb="FF000000"/>
      </patternFill>
    </fill>
  </fills>
  <borders count="5">
    <border>
      <left/>
      <right/>
      <top/>
      <bottom/>
      <diagonal/>
    </border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ADCE0"/>
      </left>
      <right/>
      <top style="thin">
        <color rgb="FFDADCE0"/>
      </top>
      <bottom style="thin">
        <color rgb="FFDADCE0"/>
      </bottom>
      <diagonal/>
    </border>
    <border>
      <left/>
      <right style="thin">
        <color rgb="FFDADCE0"/>
      </right>
      <top style="thin">
        <color rgb="FFDADCE0"/>
      </top>
      <bottom style="thin">
        <color rgb="FFDADC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4" fillId="0" borderId="0" xfId="0" applyFont="1"/>
    <xf numFmtId="49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76" fontId="2" fillId="0" borderId="2" xfId="0" applyNumberFormat="1" applyFont="1" applyBorder="1" applyAlignment="1">
      <alignment vertical="center"/>
    </xf>
    <xf numFmtId="58" fontId="4" fillId="0" borderId="0" xfId="0" applyNumberFormat="1" applyFont="1"/>
    <xf numFmtId="177" fontId="4" fillId="0" borderId="0" xfId="0" applyNumberFormat="1" applyFont="1"/>
    <xf numFmtId="0" fontId="1" fillId="2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</cellXfs>
  <cellStyles count="1">
    <cellStyle name="표준" xfId="0" builtinId="0"/>
  </cellStyles>
  <dxfs count="5">
    <dxf>
      <font>
        <strike val="0"/>
        <outline val="0"/>
        <shadow val="0"/>
        <u val="none"/>
        <vertAlign val="baseline"/>
        <sz val="10"/>
        <color theme="0"/>
      </font>
    </dxf>
    <dxf>
      <border>
        <left style="thin">
          <color rgb="FFF1F3F4"/>
        </left>
        <right style="thin">
          <color rgb="FFF1F3F4"/>
        </right>
        <top style="thin">
          <color rgb="FFF1F3F4"/>
        </top>
        <bottom style="thin">
          <color rgb="FFF1F3F4"/>
        </bottom>
      </border>
    </dxf>
    <dxf>
      <fill>
        <patternFill patternType="solid">
          <fgColor rgb="FFF9FAFB"/>
          <bgColor rgb="FFF9FA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1F3F4"/>
          <bgColor rgb="FFF1F3F4"/>
        </patternFill>
      </fill>
    </dxf>
  </dxfs>
  <tableStyles count="1">
    <tableStyle name="시트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LuvWBS" displayName="SalesLuvWBS" ref="A1:H28" headerRowDxfId="0">
  <tableColumns count="8">
    <tableColumn id="1" xr3:uid="{00000000-0010-0000-0000-000001000000}" name="Task ID"/>
    <tableColumn id="2" xr3:uid="{00000000-0010-0000-0000-000002000000}" name="주요 업무"/>
    <tableColumn id="3" xr3:uid="{00000000-0010-0000-0000-000003000000}" name="세부 업무"/>
    <tableColumn id="4" xr3:uid="{00000000-0010-0000-0000-000004000000}" name="담당자"/>
    <tableColumn id="5" xr3:uid="{00000000-0010-0000-0000-000005000000}" name="상태"/>
    <tableColumn id="6" xr3:uid="{00000000-0010-0000-0000-000006000000}" name="시작일"/>
    <tableColumn id="7" xr3:uid="{00000000-0010-0000-0000-000007000000}" name="마감일"/>
    <tableColumn id="8" xr3:uid="{00000000-0010-0000-0000-000008000000}" name="우선순위"/>
  </tableColumns>
  <tableStyleInfo name="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2" activePane="bottomLeft" state="frozen"/>
      <selection pane="bottomLeft" activeCell="E7" sqref="E7"/>
    </sheetView>
  </sheetViews>
  <sheetFormatPr defaultColWidth="12.6640625" defaultRowHeight="15" customHeight="1" x14ac:dyDescent="0.25"/>
  <cols>
    <col min="1" max="1" width="14.109375" customWidth="1"/>
    <col min="2" max="2" width="25" customWidth="1"/>
    <col min="3" max="3" width="74" customWidth="1"/>
    <col min="4" max="8" width="14" customWidth="1"/>
  </cols>
  <sheetData>
    <row r="1" spans="1:26" ht="25.5" customHeight="1" x14ac:dyDescent="0.25">
      <c r="A1" s="18" t="s">
        <v>48</v>
      </c>
      <c r="B1" s="18" t="s">
        <v>59</v>
      </c>
      <c r="C1" s="18" t="s">
        <v>64</v>
      </c>
      <c r="D1" s="18" t="s">
        <v>68</v>
      </c>
      <c r="E1" s="18" t="s">
        <v>73</v>
      </c>
      <c r="F1" s="18" t="s">
        <v>75</v>
      </c>
      <c r="G1" s="18" t="s">
        <v>79</v>
      </c>
      <c r="H1" s="19" t="s">
        <v>168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37.5" customHeight="1" x14ac:dyDescent="0.25">
      <c r="A2" s="11" t="s">
        <v>94</v>
      </c>
      <c r="B2" s="12" t="s">
        <v>100</v>
      </c>
      <c r="C2" s="9" t="s">
        <v>101</v>
      </c>
      <c r="D2" s="12" t="s">
        <v>102</v>
      </c>
      <c r="E2" s="12" t="s">
        <v>8</v>
      </c>
      <c r="F2" s="13">
        <v>46237</v>
      </c>
      <c r="G2" s="13">
        <v>46238</v>
      </c>
      <c r="H2" s="12" t="s">
        <v>103</v>
      </c>
      <c r="I2" s="14"/>
      <c r="J2" s="14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7.5" customHeight="1" x14ac:dyDescent="0.25">
      <c r="A3" s="11" t="s">
        <v>104</v>
      </c>
      <c r="B3" s="12" t="s">
        <v>100</v>
      </c>
      <c r="C3" s="9" t="s">
        <v>105</v>
      </c>
      <c r="D3" s="12" t="s">
        <v>106</v>
      </c>
      <c r="E3" s="12" t="s">
        <v>8</v>
      </c>
      <c r="F3" s="13">
        <v>46238</v>
      </c>
      <c r="G3" s="13">
        <v>46240</v>
      </c>
      <c r="H3" s="12" t="s">
        <v>103</v>
      </c>
      <c r="I3" s="14"/>
      <c r="J3" s="14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7.5" customHeight="1" x14ac:dyDescent="0.25">
      <c r="A4" s="11" t="s">
        <v>107</v>
      </c>
      <c r="B4" s="12" t="s">
        <v>100</v>
      </c>
      <c r="C4" s="9" t="s">
        <v>108</v>
      </c>
      <c r="D4" s="12" t="s">
        <v>109</v>
      </c>
      <c r="E4" s="12" t="s">
        <v>8</v>
      </c>
      <c r="F4" s="13">
        <v>46240</v>
      </c>
      <c r="G4" s="13">
        <v>46241</v>
      </c>
      <c r="H4" s="12" t="s">
        <v>110</v>
      </c>
      <c r="I4" s="14"/>
      <c r="J4" s="14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7.5" customHeight="1" x14ac:dyDescent="0.25">
      <c r="A5" s="11" t="s">
        <v>111</v>
      </c>
      <c r="B5" s="12" t="s">
        <v>112</v>
      </c>
      <c r="C5" s="9" t="s">
        <v>113</v>
      </c>
      <c r="D5" s="12" t="s">
        <v>106</v>
      </c>
      <c r="E5" s="12" t="s">
        <v>8</v>
      </c>
      <c r="F5" s="13">
        <v>46244</v>
      </c>
      <c r="G5" s="13">
        <v>46245</v>
      </c>
      <c r="H5" s="12" t="s">
        <v>103</v>
      </c>
      <c r="I5" s="14"/>
      <c r="J5" s="14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7.5" customHeight="1" x14ac:dyDescent="0.25">
      <c r="A6" s="11" t="s">
        <v>114</v>
      </c>
      <c r="B6" s="12" t="s">
        <v>112</v>
      </c>
      <c r="C6" s="9" t="s">
        <v>115</v>
      </c>
      <c r="D6" s="12" t="s">
        <v>116</v>
      </c>
      <c r="E6" s="12" t="s">
        <v>8</v>
      </c>
      <c r="F6" s="13">
        <v>46244</v>
      </c>
      <c r="G6" s="13">
        <v>46247</v>
      </c>
      <c r="H6" s="12" t="s">
        <v>103</v>
      </c>
      <c r="I6" s="14"/>
      <c r="J6" s="14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7.5" customHeight="1" x14ac:dyDescent="0.25">
      <c r="A7" s="11" t="s">
        <v>117</v>
      </c>
      <c r="B7" s="12" t="s">
        <v>112</v>
      </c>
      <c r="C7" s="9" t="s">
        <v>118</v>
      </c>
      <c r="D7" s="12" t="s">
        <v>106</v>
      </c>
      <c r="E7" s="12" t="s">
        <v>8</v>
      </c>
      <c r="F7" s="13">
        <v>46245</v>
      </c>
      <c r="G7" s="13">
        <v>46248</v>
      </c>
      <c r="H7" s="12" t="s">
        <v>103</v>
      </c>
      <c r="I7" s="14"/>
      <c r="J7" s="14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7.5" customHeight="1" x14ac:dyDescent="0.25">
      <c r="A8" s="11" t="s">
        <v>119</v>
      </c>
      <c r="B8" s="12" t="s">
        <v>120</v>
      </c>
      <c r="C8" s="9" t="s">
        <v>121</v>
      </c>
      <c r="D8" s="12" t="s">
        <v>102</v>
      </c>
      <c r="E8" s="12" t="s">
        <v>122</v>
      </c>
      <c r="F8" s="13">
        <v>46244</v>
      </c>
      <c r="G8" s="13">
        <v>46252</v>
      </c>
      <c r="H8" s="12" t="s">
        <v>103</v>
      </c>
      <c r="I8" s="14"/>
      <c r="J8" s="14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7.5" customHeight="1" x14ac:dyDescent="0.25">
      <c r="A9" s="11" t="s">
        <v>123</v>
      </c>
      <c r="B9" s="12" t="s">
        <v>120</v>
      </c>
      <c r="C9" s="9" t="s">
        <v>124</v>
      </c>
      <c r="D9" s="12" t="s">
        <v>116</v>
      </c>
      <c r="E9" s="12" t="s">
        <v>122</v>
      </c>
      <c r="F9" s="13">
        <v>46246</v>
      </c>
      <c r="G9" s="13">
        <v>46253</v>
      </c>
      <c r="H9" s="12" t="s">
        <v>103</v>
      </c>
      <c r="I9" s="14"/>
      <c r="J9" s="14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7.5" customHeight="1" x14ac:dyDescent="0.25">
      <c r="A10" s="11" t="s">
        <v>125</v>
      </c>
      <c r="B10" s="12" t="s">
        <v>120</v>
      </c>
      <c r="C10" s="9" t="s">
        <v>126</v>
      </c>
      <c r="D10" s="12" t="s">
        <v>106</v>
      </c>
      <c r="E10" s="12" t="s">
        <v>122</v>
      </c>
      <c r="F10" s="13">
        <v>46248</v>
      </c>
      <c r="G10" s="13">
        <v>46255</v>
      </c>
      <c r="H10" s="12" t="s">
        <v>103</v>
      </c>
      <c r="I10" s="14"/>
      <c r="J10" s="15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7.5" customHeight="1" x14ac:dyDescent="0.25">
      <c r="A11" s="11" t="s">
        <v>127</v>
      </c>
      <c r="B11" s="12" t="s">
        <v>120</v>
      </c>
      <c r="C11" s="9" t="s">
        <v>128</v>
      </c>
      <c r="D11" s="12" t="s">
        <v>102</v>
      </c>
      <c r="E11" s="12" t="s">
        <v>122</v>
      </c>
      <c r="F11" s="13">
        <v>46252</v>
      </c>
      <c r="G11" s="13">
        <v>46255</v>
      </c>
      <c r="H11" s="12" t="s">
        <v>103</v>
      </c>
      <c r="I11" s="14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7.5" customHeight="1" x14ac:dyDescent="0.25">
      <c r="A12" s="11" t="s">
        <v>129</v>
      </c>
      <c r="B12" s="12" t="s">
        <v>130</v>
      </c>
      <c r="C12" s="9" t="s">
        <v>131</v>
      </c>
      <c r="D12" s="12" t="s">
        <v>109</v>
      </c>
      <c r="E12" s="12" t="s">
        <v>122</v>
      </c>
      <c r="F12" s="13">
        <v>46252</v>
      </c>
      <c r="G12" s="13">
        <v>46258</v>
      </c>
      <c r="H12" s="12" t="s">
        <v>103</v>
      </c>
      <c r="I12" s="14"/>
      <c r="J12" s="15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7.5" customHeight="1" x14ac:dyDescent="0.25">
      <c r="A13" s="11" t="s">
        <v>132</v>
      </c>
      <c r="B13" s="12" t="s">
        <v>130</v>
      </c>
      <c r="C13" s="9" t="s">
        <v>133</v>
      </c>
      <c r="D13" s="12" t="s">
        <v>116</v>
      </c>
      <c r="E13" s="12" t="s">
        <v>122</v>
      </c>
      <c r="F13" s="13">
        <v>46252</v>
      </c>
      <c r="G13" s="13">
        <v>46262</v>
      </c>
      <c r="H13" s="12" t="s">
        <v>103</v>
      </c>
      <c r="I13" s="14"/>
      <c r="J13" s="15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7.5" customHeight="1" x14ac:dyDescent="0.25">
      <c r="A14" s="11" t="s">
        <v>134</v>
      </c>
      <c r="B14" s="12" t="s">
        <v>130</v>
      </c>
      <c r="C14" s="9" t="s">
        <v>135</v>
      </c>
      <c r="D14" s="12" t="s">
        <v>106</v>
      </c>
      <c r="E14" s="12" t="s">
        <v>136</v>
      </c>
      <c r="F14" s="13">
        <v>46258</v>
      </c>
      <c r="G14" s="13">
        <v>46267</v>
      </c>
      <c r="H14" s="12" t="s">
        <v>110</v>
      </c>
      <c r="I14" s="14"/>
      <c r="J14" s="15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7.5" customHeight="1" x14ac:dyDescent="0.25">
      <c r="A15" s="11" t="s">
        <v>137</v>
      </c>
      <c r="B15" s="12" t="s">
        <v>130</v>
      </c>
      <c r="C15" s="9" t="s">
        <v>138</v>
      </c>
      <c r="D15" s="12" t="s">
        <v>102</v>
      </c>
      <c r="E15" s="12" t="s">
        <v>136</v>
      </c>
      <c r="F15" s="13">
        <v>46265</v>
      </c>
      <c r="G15" s="13">
        <v>46269</v>
      </c>
      <c r="H15" s="12" t="s">
        <v>103</v>
      </c>
      <c r="I15" s="14"/>
      <c r="J15" s="14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7.5" customHeight="1" x14ac:dyDescent="0.25">
      <c r="A16" s="11" t="s">
        <v>139</v>
      </c>
      <c r="B16" s="12" t="s">
        <v>140</v>
      </c>
      <c r="C16" s="9" t="s">
        <v>141</v>
      </c>
      <c r="D16" s="12" t="s">
        <v>109</v>
      </c>
      <c r="E16" s="12" t="s">
        <v>122</v>
      </c>
      <c r="F16" s="13">
        <v>46247</v>
      </c>
      <c r="G16" s="13">
        <v>46262</v>
      </c>
      <c r="H16" s="12" t="s">
        <v>110</v>
      </c>
      <c r="I16" s="14"/>
      <c r="J16" s="14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7.5" customHeight="1" x14ac:dyDescent="0.25">
      <c r="A17" s="11" t="s">
        <v>142</v>
      </c>
      <c r="B17" s="12" t="s">
        <v>140</v>
      </c>
      <c r="C17" s="9" t="s">
        <v>143</v>
      </c>
      <c r="D17" s="12" t="s">
        <v>106</v>
      </c>
      <c r="E17" s="12" t="s">
        <v>122</v>
      </c>
      <c r="F17" s="13">
        <v>46251</v>
      </c>
      <c r="G17" s="13">
        <v>46269</v>
      </c>
      <c r="H17" s="12" t="s">
        <v>103</v>
      </c>
      <c r="I17" s="14"/>
      <c r="J17" s="14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7.5" customHeight="1" x14ac:dyDescent="0.25">
      <c r="A18" s="11" t="s">
        <v>144</v>
      </c>
      <c r="B18" s="12" t="s">
        <v>140</v>
      </c>
      <c r="C18" s="9" t="s">
        <v>145</v>
      </c>
      <c r="D18" s="12" t="s">
        <v>109</v>
      </c>
      <c r="E18" s="12" t="s">
        <v>136</v>
      </c>
      <c r="F18" s="13">
        <v>46252</v>
      </c>
      <c r="G18" s="13">
        <v>46272</v>
      </c>
      <c r="H18" s="12" t="s">
        <v>103</v>
      </c>
      <c r="I18" s="14"/>
      <c r="J18" s="14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7.5" customHeight="1" x14ac:dyDescent="0.25">
      <c r="A19" s="11" t="s">
        <v>146</v>
      </c>
      <c r="B19" s="12" t="s">
        <v>140</v>
      </c>
      <c r="C19" s="9" t="s">
        <v>147</v>
      </c>
      <c r="D19" s="12" t="s">
        <v>106</v>
      </c>
      <c r="E19" s="12" t="s">
        <v>136</v>
      </c>
      <c r="F19" s="13">
        <v>46258</v>
      </c>
      <c r="G19" s="13">
        <v>46273</v>
      </c>
      <c r="H19" s="12" t="s">
        <v>103</v>
      </c>
      <c r="I19" s="14"/>
      <c r="J19" s="14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7.5" customHeight="1" x14ac:dyDescent="0.25">
      <c r="A20" s="11" t="s">
        <v>148</v>
      </c>
      <c r="B20" s="12" t="s">
        <v>140</v>
      </c>
      <c r="C20" s="9" t="s">
        <v>149</v>
      </c>
      <c r="D20" s="12" t="s">
        <v>109</v>
      </c>
      <c r="E20" s="12" t="s">
        <v>136</v>
      </c>
      <c r="F20" s="13">
        <v>46258</v>
      </c>
      <c r="G20" s="13">
        <v>46276</v>
      </c>
      <c r="H20" s="12" t="s">
        <v>103</v>
      </c>
      <c r="I20" s="14"/>
      <c r="J20" s="14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7.5" customHeight="1" x14ac:dyDescent="0.25">
      <c r="A21" s="11" t="s">
        <v>150</v>
      </c>
      <c r="B21" s="12" t="s">
        <v>151</v>
      </c>
      <c r="C21" s="9" t="s">
        <v>152</v>
      </c>
      <c r="D21" s="12" t="s">
        <v>102</v>
      </c>
      <c r="E21" s="12" t="s">
        <v>136</v>
      </c>
      <c r="F21" s="13">
        <v>46266</v>
      </c>
      <c r="G21" s="13">
        <v>46273</v>
      </c>
      <c r="H21" s="12" t="s">
        <v>103</v>
      </c>
      <c r="I21" s="14"/>
      <c r="J21" s="14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7.5" customHeight="1" x14ac:dyDescent="0.25">
      <c r="A22" s="11" t="s">
        <v>153</v>
      </c>
      <c r="B22" s="12" t="s">
        <v>151</v>
      </c>
      <c r="C22" s="9" t="s">
        <v>154</v>
      </c>
      <c r="D22" s="12" t="s">
        <v>116</v>
      </c>
      <c r="E22" s="12" t="s">
        <v>136</v>
      </c>
      <c r="F22" s="13">
        <v>46272</v>
      </c>
      <c r="G22" s="13">
        <v>46275</v>
      </c>
      <c r="H22" s="12" t="s">
        <v>103</v>
      </c>
      <c r="I22" s="14"/>
      <c r="J22" s="14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7.5" customHeight="1" x14ac:dyDescent="0.25">
      <c r="A23" s="11" t="s">
        <v>155</v>
      </c>
      <c r="B23" s="12" t="s">
        <v>151</v>
      </c>
      <c r="C23" s="9" t="s">
        <v>156</v>
      </c>
      <c r="D23" s="12" t="s">
        <v>116</v>
      </c>
      <c r="E23" s="12" t="s">
        <v>136</v>
      </c>
      <c r="F23" s="13">
        <v>46273</v>
      </c>
      <c r="G23" s="13">
        <v>46275</v>
      </c>
      <c r="H23" s="12" t="s">
        <v>103</v>
      </c>
      <c r="I23" s="14"/>
      <c r="J23" s="15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7.5" customHeight="1" x14ac:dyDescent="0.25">
      <c r="A24" s="11" t="s">
        <v>157</v>
      </c>
      <c r="B24" s="12" t="s">
        <v>151</v>
      </c>
      <c r="C24" s="9" t="s">
        <v>158</v>
      </c>
      <c r="D24" s="12" t="s">
        <v>106</v>
      </c>
      <c r="E24" s="12" t="s">
        <v>136</v>
      </c>
      <c r="F24" s="13">
        <v>46274</v>
      </c>
      <c r="G24" s="13">
        <v>46276</v>
      </c>
      <c r="H24" s="12" t="s">
        <v>103</v>
      </c>
      <c r="I24" s="14"/>
      <c r="J24" s="15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7.5" customHeight="1" x14ac:dyDescent="0.25">
      <c r="A25" s="11" t="s">
        <v>159</v>
      </c>
      <c r="B25" s="12" t="s">
        <v>160</v>
      </c>
      <c r="C25" s="9" t="s">
        <v>161</v>
      </c>
      <c r="D25" s="12" t="s">
        <v>116</v>
      </c>
      <c r="E25" s="12" t="s">
        <v>136</v>
      </c>
      <c r="F25" s="13">
        <v>46279</v>
      </c>
      <c r="G25" s="13">
        <v>46281</v>
      </c>
      <c r="H25" s="12" t="s">
        <v>103</v>
      </c>
      <c r="I25" s="15"/>
      <c r="J25" s="15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7.5" customHeight="1" x14ac:dyDescent="0.25">
      <c r="A26" s="11" t="s">
        <v>162</v>
      </c>
      <c r="B26" s="12" t="s">
        <v>160</v>
      </c>
      <c r="C26" s="9" t="s">
        <v>163</v>
      </c>
      <c r="D26" s="12" t="s">
        <v>102</v>
      </c>
      <c r="E26" s="12" t="s">
        <v>136</v>
      </c>
      <c r="F26" s="13">
        <v>46279</v>
      </c>
      <c r="G26" s="13">
        <v>46282</v>
      </c>
      <c r="H26" s="12" t="s">
        <v>103</v>
      </c>
      <c r="I26" s="15"/>
      <c r="J26" s="15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7.5" customHeight="1" x14ac:dyDescent="0.25">
      <c r="A27" s="11" t="s">
        <v>164</v>
      </c>
      <c r="B27" s="12" t="s">
        <v>160</v>
      </c>
      <c r="C27" s="9" t="s">
        <v>165</v>
      </c>
      <c r="D27" s="12" t="s">
        <v>109</v>
      </c>
      <c r="E27" s="12" t="s">
        <v>136</v>
      </c>
      <c r="F27" s="13">
        <v>46279</v>
      </c>
      <c r="G27" s="13">
        <v>46283</v>
      </c>
      <c r="H27" s="12" t="s">
        <v>103</v>
      </c>
      <c r="I27" s="15"/>
      <c r="J27" s="15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7.5" customHeight="1" x14ac:dyDescent="0.25">
      <c r="A28" s="11" t="s">
        <v>166</v>
      </c>
      <c r="B28" s="12" t="s">
        <v>160</v>
      </c>
      <c r="C28" s="9" t="s">
        <v>167</v>
      </c>
      <c r="D28" s="12" t="s">
        <v>102</v>
      </c>
      <c r="E28" s="12" t="s">
        <v>136</v>
      </c>
      <c r="F28" s="13">
        <v>46283</v>
      </c>
      <c r="G28" s="13">
        <v>46283</v>
      </c>
      <c r="H28" s="12" t="s">
        <v>103</v>
      </c>
      <c r="I28" s="15"/>
      <c r="J28" s="15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25">
      <c r="I29" s="15"/>
      <c r="J29" s="15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5">
      <c r="I30" s="15"/>
      <c r="J30" s="15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25">
      <c r="I31" s="15"/>
      <c r="J31" s="15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25">
      <c r="I32" s="15"/>
      <c r="J32" s="15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9:26" ht="15.75" customHeight="1" x14ac:dyDescent="0.25">
      <c r="I33" s="15"/>
      <c r="J33" s="15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9:26" ht="15.75" customHeight="1" x14ac:dyDescent="0.25">
      <c r="I34" s="15"/>
      <c r="J34" s="15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9:26" ht="15.75" customHeight="1" x14ac:dyDescent="0.25">
      <c r="I35" s="15"/>
      <c r="J35" s="15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9:26" ht="15.75" customHeight="1" x14ac:dyDescent="0.25">
      <c r="I36" s="15"/>
      <c r="J36" s="15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9:26" ht="15.75" customHeight="1" x14ac:dyDescent="0.25">
      <c r="I37" s="15"/>
      <c r="J37" s="15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9:26" ht="15.75" customHeight="1" x14ac:dyDescent="0.25">
      <c r="I38" s="15"/>
      <c r="J38" s="15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9:26" ht="15.75" customHeight="1" x14ac:dyDescent="0.25">
      <c r="I39" s="15"/>
      <c r="J39" s="15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9:26" ht="15.75" customHeight="1" x14ac:dyDescent="0.25">
      <c r="I40" s="15"/>
      <c r="J40" s="15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9:26" ht="15.75" customHeight="1" x14ac:dyDescent="0.25">
      <c r="I41" s="14"/>
      <c r="J41" s="15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9:26" ht="15.75" customHeight="1" x14ac:dyDescent="0.25">
      <c r="I42" s="14"/>
      <c r="J42" s="14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9:26" ht="15.75" customHeight="1" x14ac:dyDescent="0.25">
      <c r="I43" s="14"/>
      <c r="J43" s="14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9:26" ht="15.75" customHeight="1" x14ac:dyDescent="0.25">
      <c r="I44" s="15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9:26" ht="15.75" customHeight="1" x14ac:dyDescent="0.25">
      <c r="I45" s="15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9:26" ht="15.75" customHeight="1" x14ac:dyDescent="0.25">
      <c r="I46" s="15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9:26" ht="15.75" customHeight="1" x14ac:dyDescent="0.25">
      <c r="I47" s="14"/>
      <c r="J47" s="14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9:26" ht="15.75" customHeight="1" x14ac:dyDescent="0.25">
      <c r="I48" s="14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5">
      <c r="I49" s="14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6" type="noConversion"/>
  <dataValidations count="5">
    <dataValidation type="custom" allowBlank="1" showDropDown="1" sqref="F2:G28" xr:uid="{00000000-0002-0000-0000-000000000000}">
      <formula1>OR(NOT(ISERROR(DATEVALUE(F2))), AND(ISNUMBER(F2), LEFT(CELL("format", F2))="D"))</formula1>
    </dataValidation>
    <dataValidation allowBlank="1" showDropDown="1" sqref="A2:C28" xr:uid="{00000000-0002-0000-0000-000001000000}"/>
    <dataValidation type="list" allowBlank="1" sqref="D2:D28" xr:uid="{00000000-0002-0000-0000-000002000000}">
      <formula1>"미정,박제섭,박지유,정주애,천성배"</formula1>
    </dataValidation>
    <dataValidation type="list" allowBlank="1" sqref="H2:H28" xr:uid="{00000000-0002-0000-0000-000003000000}">
      <formula1>"높음,보통,낮음"</formula1>
    </dataValidation>
    <dataValidation type="list" allowBlank="1" sqref="E2:E28" xr:uid="{00000000-0002-0000-0000-000004000000}">
      <formula1>"완료,진행 중,예정"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2.6640625" defaultRowHeight="15" customHeight="1" x14ac:dyDescent="0.25"/>
  <cols>
    <col min="1" max="2" width="18" customWidth="1"/>
    <col min="3" max="3" width="38" customWidth="1"/>
    <col min="4" max="4" width="56" customWidth="1"/>
    <col min="5" max="5" width="34" customWidth="1"/>
    <col min="6" max="26" width="8.6640625" customWidth="1"/>
  </cols>
  <sheetData>
    <row r="1" spans="1:5" ht="25.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33.75" customHeight="1" x14ac:dyDescent="0.25">
      <c r="A2" s="2" t="s">
        <v>6</v>
      </c>
      <c r="B2" s="2" t="s">
        <v>9</v>
      </c>
      <c r="C2" s="2" t="s">
        <v>11</v>
      </c>
      <c r="D2" s="3" t="s">
        <v>13</v>
      </c>
      <c r="E2" s="3" t="s">
        <v>16</v>
      </c>
    </row>
    <row r="3" spans="1:5" ht="33.75" customHeight="1" x14ac:dyDescent="0.25">
      <c r="A3" s="2" t="s">
        <v>18</v>
      </c>
      <c r="B3" s="2" t="s">
        <v>19</v>
      </c>
      <c r="C3" s="2" t="s">
        <v>20</v>
      </c>
      <c r="D3" s="3" t="s">
        <v>21</v>
      </c>
      <c r="E3" s="3" t="s">
        <v>22</v>
      </c>
    </row>
    <row r="4" spans="1:5" ht="33.75" customHeight="1" x14ac:dyDescent="0.25">
      <c r="A4" s="2" t="s">
        <v>24</v>
      </c>
      <c r="B4" s="2" t="s">
        <v>25</v>
      </c>
      <c r="C4" s="2" t="s">
        <v>27</v>
      </c>
      <c r="D4" s="3" t="s">
        <v>28</v>
      </c>
      <c r="E4" s="3" t="s">
        <v>29</v>
      </c>
    </row>
    <row r="5" spans="1:5" ht="33.75" customHeight="1" x14ac:dyDescent="0.25">
      <c r="A5" s="2" t="s">
        <v>30</v>
      </c>
      <c r="B5" s="2" t="s">
        <v>31</v>
      </c>
      <c r="C5" s="2" t="s">
        <v>32</v>
      </c>
      <c r="D5" s="3" t="s">
        <v>33</v>
      </c>
      <c r="E5" s="3" t="s">
        <v>34</v>
      </c>
    </row>
    <row r="6" spans="1:5" ht="33.75" customHeight="1" x14ac:dyDescent="0.25">
      <c r="A6" s="2" t="s">
        <v>35</v>
      </c>
      <c r="B6" s="2" t="s">
        <v>36</v>
      </c>
      <c r="C6" s="2" t="s">
        <v>37</v>
      </c>
      <c r="D6" s="3" t="s">
        <v>38</v>
      </c>
      <c r="E6" s="3" t="s">
        <v>39</v>
      </c>
    </row>
    <row r="7" spans="1:5" ht="33.75" customHeight="1" x14ac:dyDescent="0.25">
      <c r="A7" s="2" t="s">
        <v>40</v>
      </c>
      <c r="B7" s="2" t="s">
        <v>41</v>
      </c>
      <c r="C7" s="2" t="s">
        <v>42</v>
      </c>
      <c r="D7" s="3" t="s">
        <v>43</v>
      </c>
      <c r="E7" s="3" t="s">
        <v>44</v>
      </c>
    </row>
    <row r="8" spans="1:5" ht="33.75" customHeight="1" x14ac:dyDescent="0.25">
      <c r="A8" s="2" t="s">
        <v>45</v>
      </c>
      <c r="B8" s="2" t="s">
        <v>46</v>
      </c>
      <c r="C8" s="2" t="s">
        <v>47</v>
      </c>
      <c r="D8" s="3" t="s">
        <v>49</v>
      </c>
      <c r="E8" s="3" t="s">
        <v>50</v>
      </c>
    </row>
    <row r="9" spans="1:5" ht="7.5" customHeight="1" x14ac:dyDescent="0.25"/>
    <row r="10" spans="1:5" ht="7.5" customHeight="1" x14ac:dyDescent="0.25"/>
    <row r="11" spans="1:5" ht="25.5" customHeight="1" x14ac:dyDescent="0.25">
      <c r="A11" s="7"/>
      <c r="B11" s="7"/>
      <c r="C11" s="7"/>
    </row>
    <row r="12" spans="1:5" ht="42" customHeight="1" x14ac:dyDescent="0.25">
      <c r="A12" s="9"/>
      <c r="B12" s="9"/>
      <c r="C12" s="9"/>
    </row>
    <row r="13" spans="1:5" ht="42" customHeight="1" x14ac:dyDescent="0.25">
      <c r="A13" s="9"/>
      <c r="B13" s="9"/>
      <c r="C13" s="9"/>
    </row>
    <row r="14" spans="1:5" ht="42" customHeight="1" x14ac:dyDescent="0.25">
      <c r="A14" s="9"/>
      <c r="B14" s="9"/>
      <c r="C14" s="9"/>
    </row>
    <row r="15" spans="1:5" ht="42" customHeight="1" x14ac:dyDescent="0.25">
      <c r="A15" s="9"/>
      <c r="B15" s="9"/>
      <c r="C15" s="9"/>
    </row>
    <row r="16" spans="1:5" ht="42" customHeight="1" x14ac:dyDescent="0.25">
      <c r="A16" s="9"/>
      <c r="B16" s="9"/>
      <c r="C16" s="9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6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2.6640625" defaultRowHeight="15" customHeight="1" x14ac:dyDescent="0.25"/>
  <cols>
    <col min="1" max="1" width="18" customWidth="1"/>
    <col min="2" max="2" width="24" customWidth="1"/>
    <col min="3" max="6" width="10" customWidth="1"/>
    <col min="7" max="7" width="30" customWidth="1"/>
    <col min="8" max="8" width="61" customWidth="1"/>
    <col min="9" max="26" width="8.6640625" customWidth="1"/>
  </cols>
  <sheetData>
    <row r="1" spans="1:8" ht="25.5" customHeight="1" x14ac:dyDescent="0.25">
      <c r="A1" s="1" t="s">
        <v>0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15</v>
      </c>
      <c r="H1" s="1" t="s">
        <v>17</v>
      </c>
    </row>
    <row r="2" spans="1:8" ht="37.5" customHeight="1" x14ac:dyDescent="0.25">
      <c r="A2" s="2" t="s">
        <v>23</v>
      </c>
      <c r="B2" s="2" t="s">
        <v>26</v>
      </c>
      <c r="C2" s="4">
        <v>3</v>
      </c>
      <c r="D2" s="5">
        <v>1</v>
      </c>
      <c r="E2" s="6">
        <v>0</v>
      </c>
      <c r="F2" s="8">
        <v>0</v>
      </c>
      <c r="G2" s="2" t="s">
        <v>51</v>
      </c>
      <c r="H2" s="3" t="s">
        <v>52</v>
      </c>
    </row>
    <row r="3" spans="1:8" ht="37.5" customHeight="1" x14ac:dyDescent="0.25">
      <c r="A3" s="2" t="s">
        <v>53</v>
      </c>
      <c r="B3" s="2" t="s">
        <v>54</v>
      </c>
      <c r="C3" s="4">
        <v>3</v>
      </c>
      <c r="D3" s="5">
        <v>1</v>
      </c>
      <c r="E3" s="6">
        <v>1</v>
      </c>
      <c r="F3" s="8">
        <v>0</v>
      </c>
      <c r="G3" s="2" t="s">
        <v>55</v>
      </c>
      <c r="H3" s="3" t="s">
        <v>56</v>
      </c>
    </row>
    <row r="4" spans="1:8" ht="37.5" customHeight="1" x14ac:dyDescent="0.25">
      <c r="A4" s="2" t="s">
        <v>57</v>
      </c>
      <c r="B4" s="2" t="s">
        <v>58</v>
      </c>
      <c r="C4" s="4">
        <v>2</v>
      </c>
      <c r="D4" s="5">
        <v>3</v>
      </c>
      <c r="E4" s="6">
        <v>1</v>
      </c>
      <c r="F4" s="8">
        <v>0</v>
      </c>
      <c r="G4" s="2" t="s">
        <v>55</v>
      </c>
      <c r="H4" s="3" t="s">
        <v>60</v>
      </c>
    </row>
    <row r="5" spans="1:8" ht="37.5" customHeight="1" x14ac:dyDescent="0.25">
      <c r="A5" s="2" t="s">
        <v>61</v>
      </c>
      <c r="B5" s="2" t="s">
        <v>62</v>
      </c>
      <c r="C5" s="4">
        <v>0</v>
      </c>
      <c r="D5" s="5">
        <v>7</v>
      </c>
      <c r="E5" s="6">
        <v>3</v>
      </c>
      <c r="F5" s="8">
        <v>0</v>
      </c>
      <c r="G5" s="2" t="s">
        <v>63</v>
      </c>
      <c r="H5" s="3" t="s">
        <v>65</v>
      </c>
    </row>
    <row r="6" spans="1:8" ht="37.5" customHeight="1" x14ac:dyDescent="0.25">
      <c r="A6" s="2" t="s">
        <v>66</v>
      </c>
      <c r="B6" s="2" t="s">
        <v>67</v>
      </c>
      <c r="C6" s="4">
        <v>0</v>
      </c>
      <c r="D6" s="5">
        <v>4</v>
      </c>
      <c r="E6" s="6">
        <v>0</v>
      </c>
      <c r="F6" s="8">
        <v>0</v>
      </c>
      <c r="G6" s="2" t="s">
        <v>69</v>
      </c>
      <c r="H6" s="3" t="s">
        <v>70</v>
      </c>
    </row>
    <row r="7" spans="1:8" ht="37.5" customHeight="1" x14ac:dyDescent="0.25">
      <c r="A7" s="2" t="s">
        <v>71</v>
      </c>
      <c r="B7" s="2" t="s">
        <v>72</v>
      </c>
      <c r="C7" s="4">
        <v>3</v>
      </c>
      <c r="D7" s="5">
        <v>0</v>
      </c>
      <c r="E7" s="6">
        <v>1</v>
      </c>
      <c r="F7" s="8">
        <v>0</v>
      </c>
      <c r="G7" s="2" t="s">
        <v>74</v>
      </c>
      <c r="H7" s="3" t="s">
        <v>76</v>
      </c>
    </row>
    <row r="8" spans="1:8" ht="37.5" customHeight="1" x14ac:dyDescent="0.25">
      <c r="A8" s="2" t="s">
        <v>77</v>
      </c>
      <c r="B8" s="2" t="s">
        <v>78</v>
      </c>
      <c r="C8" s="4">
        <v>0</v>
      </c>
      <c r="D8" s="5">
        <v>0</v>
      </c>
      <c r="E8" s="6">
        <v>3</v>
      </c>
      <c r="F8" s="8">
        <v>0</v>
      </c>
      <c r="G8" s="2" t="s">
        <v>80</v>
      </c>
      <c r="H8" s="3" t="s">
        <v>81</v>
      </c>
    </row>
    <row r="9" spans="1:8" ht="37.5" customHeight="1" x14ac:dyDescent="0.25">
      <c r="A9" s="2" t="s">
        <v>82</v>
      </c>
      <c r="B9" s="2" t="s">
        <v>83</v>
      </c>
      <c r="C9" s="4">
        <v>0</v>
      </c>
      <c r="D9" s="5">
        <v>4</v>
      </c>
      <c r="E9" s="6">
        <v>2</v>
      </c>
      <c r="F9" s="8">
        <v>0</v>
      </c>
      <c r="G9" s="2" t="s">
        <v>84</v>
      </c>
      <c r="H9" s="3" t="s">
        <v>85</v>
      </c>
    </row>
    <row r="10" spans="1:8" ht="37.5" customHeight="1" x14ac:dyDescent="0.25">
      <c r="A10" s="2" t="s">
        <v>86</v>
      </c>
      <c r="B10" s="2" t="s">
        <v>87</v>
      </c>
      <c r="C10" s="4">
        <v>0</v>
      </c>
      <c r="D10" s="5">
        <v>1</v>
      </c>
      <c r="E10" s="6">
        <v>3</v>
      </c>
      <c r="F10" s="8">
        <v>1</v>
      </c>
      <c r="G10" s="2" t="s">
        <v>88</v>
      </c>
      <c r="H10" s="3" t="s">
        <v>89</v>
      </c>
    </row>
    <row r="11" spans="1:8" ht="37.5" customHeight="1" x14ac:dyDescent="0.25">
      <c r="A11" s="2" t="s">
        <v>90</v>
      </c>
      <c r="B11" s="2" t="s">
        <v>91</v>
      </c>
      <c r="C11" s="4">
        <v>0</v>
      </c>
      <c r="D11" s="5">
        <v>4</v>
      </c>
      <c r="E11" s="6">
        <v>0</v>
      </c>
      <c r="F11" s="8">
        <v>1</v>
      </c>
      <c r="G11" s="2" t="s">
        <v>92</v>
      </c>
      <c r="H11" s="3" t="s">
        <v>93</v>
      </c>
    </row>
    <row r="12" spans="1:8" ht="37.5" customHeight="1" x14ac:dyDescent="0.25">
      <c r="A12" s="2" t="s">
        <v>95</v>
      </c>
      <c r="B12" s="2" t="s">
        <v>96</v>
      </c>
      <c r="C12" s="4">
        <v>3</v>
      </c>
      <c r="D12" s="5">
        <v>5</v>
      </c>
      <c r="E12" s="6">
        <v>0</v>
      </c>
      <c r="F12" s="8">
        <v>1</v>
      </c>
      <c r="G12" s="2" t="s">
        <v>97</v>
      </c>
      <c r="H12" s="3" t="s">
        <v>98</v>
      </c>
    </row>
    <row r="13" spans="1:8" ht="27.75" customHeight="1" x14ac:dyDescent="0.25">
      <c r="A13" s="16" t="s">
        <v>99</v>
      </c>
      <c r="B13" s="17"/>
      <c r="C13" s="1">
        <f t="shared" ref="C13:F13" si="0">SUM(C2:C12)</f>
        <v>14</v>
      </c>
      <c r="D13" s="1">
        <f t="shared" si="0"/>
        <v>30</v>
      </c>
      <c r="E13" s="1">
        <f t="shared" si="0"/>
        <v>14</v>
      </c>
      <c r="F13" s="1">
        <f t="shared" si="0"/>
        <v>3</v>
      </c>
      <c r="G13" s="16" t="str">
        <f>"총 "&amp;SUM(C13:F13)&amp;"건"</f>
        <v>총 61건</v>
      </c>
      <c r="H13" s="1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3:B13"/>
    <mergeCell ref="G13:H13"/>
  </mergeCells>
  <phoneticPr fontId="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시트1</vt:lpstr>
      <vt:lpstr>산출물·마일스톤</vt:lpstr>
      <vt:lpstr>요구사항 추적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주애 정</cp:lastModifiedBy>
  <dcterms:modified xsi:type="dcterms:W3CDTF">2026-08-18T02:22:43Z</dcterms:modified>
</cp:coreProperties>
</file>