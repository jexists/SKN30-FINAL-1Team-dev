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9c7d470c2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서 정답" sheetId="1" r:id="Ree6626b1b56b4b72"/>
    <x:sheet xmlns:r="http://schemas.openxmlformats.org/officeDocument/2006/relationships" name="품목 정답" sheetId="2" r:id="R60b1313fe07344b5"/>
    <x:sheet xmlns:r="http://schemas.openxmlformats.org/officeDocument/2006/relationships" name="필드 기준" sheetId="3" r:id="R5fcf8eb66296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72033"/>
      <x:name val="Arial"/>
    </x:font>
    <x:font>
      <x:b/>
      <x:sz val="16"/>
      <x:color rgb="FF17365D"/>
      <x:name val="Arial"/>
    </x:font>
    <x:font>
      <x:i/>
      <x:sz val="10"/>
      <x:color rgb="FF64748B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5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3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3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ae47881144f1b" /><Relationship Type="http://schemas.openxmlformats.org/officeDocument/2006/relationships/theme" Target="/xl/theme/theme1.xml" Id="R40329a5181f54b7a" /><Relationship Type="http://schemas.openxmlformats.org/officeDocument/2006/relationships/sharedStrings" Target="/xl/sharedStrings.xml" Id="Rfa74f7ddeeda4a62" /><Relationship Type="http://schemas.openxmlformats.org/officeDocument/2006/relationships/worksheet" Target="/xl/worksheets/sheet1.xml" Id="Ree6626b1b56b4b72" /><Relationship Type="http://schemas.openxmlformats.org/officeDocument/2006/relationships/worksheet" Target="/xl/worksheets/sheet2.xml" Id="R60b1313fe07344b5" /><Relationship Type="http://schemas.openxmlformats.org/officeDocument/2006/relationships/worksheet" Target="/xl/worksheets/sheet3.xml" Id="R5fcf8eb6629645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9" hidden="0" customWidth="1"/>
    <x:col min="4" max="4" width="9" hidden="0" customWidth="1"/>
    <x:col min="5" max="5" width="10" hidden="0" customWidth="1"/>
    <x:col min="6" max="6" width="10" hidden="0" customWidth="1"/>
    <x:col min="7" max="7" width="14" hidden="0" customWidth="1"/>
    <x:col min="8" max="8" width="17" hidden="0" customWidth="1"/>
    <x:col min="9" max="9" width="44" hidden="0" customWidth="1"/>
    <x:col min="10" max="10" width="15" hidden="0" customWidth="1"/>
    <x:col min="11" max="11" width="15" hidden="0" customWidth="1"/>
    <x:col min="12" max="12" width="16" hidden="0" customWidth="1"/>
    <x:col min="13" max="13" width="15" hidden="0" customWidth="1"/>
    <x:col min="14" max="14" width="17" hidden="0" customWidth="1"/>
    <x:col min="15" max="15" width="44" hidden="0" customWidth="1"/>
    <x:col min="16" max="16" width="15" hidden="0" customWidth="1"/>
    <x:col min="17" max="17" width="15" hidden="0" customWidth="1"/>
    <x:col min="18" max="18" width="16" hidden="0" customWidth="1"/>
    <x:col min="19" max="19" width="12" hidden="0" customWidth="1"/>
    <x:col min="20" max="20" width="12" hidden="0" customWidth="1"/>
    <x:col min="21" max="21" width="44" hidden="0" customWidth="1"/>
    <x:col min="22" max="22" width="24" hidden="0" customWidth="1"/>
    <x:col min="23" max="23" width="16" hidden="0" customWidth="1"/>
    <x:col min="24" max="24" width="12" hidden="0" customWidth="1"/>
    <x:col min="25" max="25" width="9" hidden="0" customWidth="1"/>
    <x:col min="26" max="26" width="15" hidden="0" customWidth="1"/>
    <x:col min="27" max="27" width="9" hidden="0" customWidth="1"/>
    <x:col min="28" max="28" width="52" hidden="0" customWidth="1"/>
    <x:col min="29" max="29" width="62" hidden="0" customWidth="1"/>
    <x:col min="30" max="30" width="44" hidden="0" customWidth="1"/>
    <x:col min="31" max="31" width="18" hidden="0" customWidth="1"/>
    <x:col min="32" max="32" width="12" hidden="0" customWidth="1"/>
    <x:col min="33" max="33" width="12" hidden="0" customWidth="1"/>
  </x:cols>
  <x:sheetData>
    <x:row r="1" ht="24" customHeight="1">
      <x:c r="A1" s="3" t="str">
        <x:v>발주서 50개 OCR 정답지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 ht="24" customHeight="1">
      <x:c r="A2" s="4" t="str">
        <x:v>대상: 발주서_1.pdf~발주서_50.pdf / 공급자·발주자 정보, 발주 조건, 품목 및 합계 검산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</x:row>
    <x:row r="3">
      <x:c r="A3" s="7" t="str">
        <x:v>문서 수</x:v>
      </x:c>
      <x:c r="B3" s="8" t="n">
        <x:f>COUNTA(A6:A55)</x:f>
        <x:v>50</x:v>
      </x:c>
      <x:c r="C3" s="8" t="str">
        <x:v>품목행 수</x:v>
      </x:c>
      <x:c r="D3" s="8" t="n">
        <x:f>COUNTA('품목 정답'!A5:A204)</x:f>
        <x:v>200</x:v>
      </x:c>
      <x:c r="E3" s="8" t="str">
        <x:v>합계 일치</x:v>
      </x:c>
      <x:c r="F3" s="9" t="n">
        <x:f>COUNTIF(AF6:AF55,"일치")</x:f>
        <x:v>50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</x:row>
    <x:row r="5" ht="38" customHeight="1">
      <x:c r="A5" s="18" t="str">
        <x:v>문서 ID</x:v>
      </x:c>
      <x:c r="B5" s="19" t="str">
        <x:v>파일명</x:v>
      </x:c>
      <x:c r="C5" s="19" t="str">
        <x:v>원본 형식</x:v>
      </x:c>
      <x:c r="D5" s="19" t="str">
        <x:v>페이지 수</x:v>
      </x:c>
      <x:c r="E5" s="19" t="str">
        <x:v>문서명</x:v>
      </x:c>
      <x:c r="F5" s="19" t="str">
        <x:v>문서 유형</x:v>
      </x:c>
      <x:c r="G5" s="19" t="str">
        <x:v>공급자</x:v>
      </x:c>
      <x:c r="H5" s="19" t="str">
        <x:v>공급자 사업자번호</x:v>
      </x:c>
      <x:c r="I5" s="19" t="str">
        <x:v>공급자 주소</x:v>
      </x:c>
      <x:c r="J5" s="19" t="str">
        <x:v>공급자 전화</x:v>
      </x:c>
      <x:c r="K5" s="19" t="str">
        <x:v>공급자 FAX</x:v>
      </x:c>
      <x:c r="L5" s="19" t="str">
        <x:v>공급자 담당자</x:v>
      </x:c>
      <x:c r="M5" s="19" t="str">
        <x:v>발주자</x:v>
      </x:c>
      <x:c r="N5" s="19" t="str">
        <x:v>발주자 사업자번호</x:v>
      </x:c>
      <x:c r="O5" s="19" t="str">
        <x:v>발주자 주소</x:v>
      </x:c>
      <x:c r="P5" s="19" t="str">
        <x:v>발주자 전화</x:v>
      </x:c>
      <x:c r="Q5" s="19" t="str">
        <x:v>발주자 FAX</x:v>
      </x:c>
      <x:c r="R5" s="19" t="str">
        <x:v>발주자 담당자</x:v>
      </x:c>
      <x:c r="S5" s="19" t="str">
        <x:v>발주일자</x:v>
      </x:c>
      <x:c r="T5" s="19" t="str">
        <x:v>납기일자</x:v>
      </x:c>
      <x:c r="U5" s="19" t="str">
        <x:v>납품장소</x:v>
      </x:c>
      <x:c r="V5" s="19" t="str">
        <x:v>대금 지급조건</x:v>
      </x:c>
      <x:c r="W5" s="19" t="str">
        <x:v>대금 지급방법</x:v>
      </x:c>
      <x:c r="X5" s="19" t="str">
        <x:v>용도</x:v>
      </x:c>
      <x:c r="Y5" s="19" t="str">
        <x:v>통화</x:v>
      </x:c>
      <x:c r="Z5" s="19" t="str">
        <x:v>총액</x:v>
      </x:c>
      <x:c r="AA5" s="19" t="str">
        <x:v>품목 수</x:v>
      </x:c>
      <x:c r="AB5" s="19" t="str">
        <x:v>정답 요약</x:v>
      </x:c>
      <x:c r="AC5" s="19" t="str">
        <x:v>검색 키워드</x:v>
      </x:c>
      <x:c r="AD5" s="19" t="str">
        <x:v>원문 근거</x:v>
      </x:c>
      <x:c r="AE5" s="19" t="str">
        <x:v>품목금액 합계(검산)</x:v>
      </x:c>
      <x:c r="AF5" s="19" t="str">
        <x:v>합계 판정</x:v>
      </x:c>
      <x:c r="AG5" s="20" t="str">
        <x:v>근거 등급</x:v>
      </x:c>
    </x:row>
    <x:row r="6" ht="48" customHeight="1">
      <x:c r="A6" s="29" t="str">
        <x:v>PO-001</x:v>
      </x:c>
      <x:c r="B6" s="30" t="str">
        <x:v>발주서_1.pdf</x:v>
      </x:c>
      <x:c r="C6" s="30" t="str">
        <x:v>PDF</x:v>
      </x:c>
      <x:c r="D6" s="30" t="n">
        <x:v>1</x:v>
      </x:c>
      <x:c r="E6" s="30" t="str">
        <x:v>발주서</x:v>
      </x:c>
      <x:c r="F6" s="30" t="str">
        <x:v>발주서</x:v>
      </x:c>
      <x:c r="G6" s="30" t="str">
        <x:v>감성과학</x:v>
      </x:c>
      <x:c r="H6" s="30" t="str">
        <x:v>288 - 46 0 00419</x:v>
      </x:c>
      <x:c r="I6" s="30" t="str">
        <x:v>서울특별시 종로구 삼일대로32길 36, 지하1층 101호. (익선동, 운현신화타워)</x:v>
      </x:c>
      <x:c r="J6" s="30" t="str">
        <x:v>02 - 801 - 1234</x:v>
      </x:c>
      <x:c r="K6" s="30" t="str">
        <x:v>02 - 801 - 1233</x:v>
      </x:c>
      <x:c r="L6" s="30" t="str">
        <x:v>영업1팀 홍길동</x:v>
      </x:c>
      <x:c r="M6" s="30" t="str">
        <x:v>세온바이오</x:v>
      </x:c>
      <x:c r="N6" s="30" t="str">
        <x:v>101 - 12 - 10001</x:v>
      </x:c>
      <x:c r="O6" s="30" t="str">
        <x:v>서울특별시 금천구 가산디지털1로 12길 2 (가산동, 미르빌딩 101호)</x:v>
      </x:c>
      <x:c r="P6" s="30" t="str">
        <x:v>02 - 2100 - 1100</x:v>
      </x:c>
      <x:c r="Q6" s="30" t="str">
        <x:v>02 - 2100 - 2100</x:v>
      </x:c>
      <x:c r="R6" s="30" t="str">
        <x:v>구매팀 김도윤</x:v>
      </x:c>
      <x:c r="S6" s="41"/>
      <x:c r="T6" s="41"/>
      <x:c r="U6" s="30" t="str">
        <x:v>서울특별시 금천구 가산디지털1로 12길 2 (가산동, 미르빌딩 101호)</x:v>
      </x:c>
      <x:c r="V6" s="30" t="str">
        <x:v>계산서발행일로부터 익월이내</x:v>
      </x:c>
      <x:c r="W6" s="41"/>
      <x:c r="X6" s="41"/>
      <x:c r="Y6" s="30" t="str">
        <x:v>KRW</x:v>
      </x:c>
      <x:c r="Z6" s="38" t="n">
        <x:v>146175000</x:v>
      </x:c>
      <x:c r="AA6" s="30" t="n">
        <x:f>COUNTIF('품목 정답'!$A$5:$A$204,A6)</x:f>
        <x:v>4</x:v>
      </x:c>
      <x:c r="AB6" s="30" t="str">
        <x:v>세온바이오 발주서. 공급자 감성과학, 납품장소 서울특별시 금천구 가산디지털1로 12길 2 (가산동, 미르빌딩 101호), 총액 146,175,000원, 품목 4행.</x:v>
      </x:c>
      <x:c r="AC6" s="30" t="str">
        <x:v>발주서, 감성과학, 세온바이오, 구매팀 김도윤, 레이저장비, LP1500, LR1000, LR-CORE1, LR2000</x:v>
      </x:c>
      <x:c r="AD6" s="30" t="str">
        <x:v>p.1: 공급자·발주자 기본정보·발주조건·발주내용·합계금액</x:v>
      </x:c>
      <x:c r="AE6" s="38" t="n">
        <x:f>SUMIF('품목 정답'!$A$5:$A$204,A6,'품목 정답'!$I$5:$I$204)</x:f>
        <x:v>146175000</x:v>
      </x:c>
      <x:c r="AF6" s="30" t="str">
        <x:f>IF(AE6=Z6,"일치","불일치")</x:f>
        <x:v>일치</x:v>
      </x:c>
      <x:c r="AG6" s="31" t="str">
        <x:v>[검증]</x:v>
      </x:c>
    </x:row>
    <x:row r="7" ht="48" customHeight="1">
      <x:c r="A7" s="32" t="str">
        <x:v>PO-002</x:v>
      </x:c>
      <x:c r="B7" s="33" t="str">
        <x:v>발주서_2.pdf</x:v>
      </x:c>
      <x:c r="C7" s="33" t="str">
        <x:v>PDF</x:v>
      </x:c>
      <x:c r="D7" s="33" t="n">
        <x:v>1</x:v>
      </x:c>
      <x:c r="E7" s="33" t="str">
        <x:v>발주서</x:v>
      </x:c>
      <x:c r="F7" s="33" t="str">
        <x:v>발주서</x:v>
      </x:c>
      <x:c r="G7" s="33" t="str">
        <x:v>감성과학</x:v>
      </x:c>
      <x:c r="H7" s="33" t="str">
        <x:v>288 - 46 0 00419</x:v>
      </x:c>
      <x:c r="I7" s="33" t="str">
        <x:v>서울특별시 종로구 삼일대로32길 36, 지하1층 101호. (익선동, 운현신화타워)</x:v>
      </x:c>
      <x:c r="J7" s="33" t="str">
        <x:v>02 - 801 - 1234</x:v>
      </x:c>
      <x:c r="K7" s="33" t="str">
        <x:v>02 - 801 - 1233</x:v>
      </x:c>
      <x:c r="L7" s="33" t="str">
        <x:v>영업1팀 홍길동</x:v>
      </x:c>
      <x:c r="M7" s="33" t="str">
        <x:v>루미넥스메디</x:v>
      </x:c>
      <x:c r="N7" s="33" t="str">
        <x:v>102 - 19 - 10138</x:v>
      </x:c>
      <x:c r="O7" s="33" t="str">
        <x:v>경기도 성남시 분당구 판교역로 13길 5 (삼평동, 미르빌딩 10 2호)</x:v>
      </x:c>
      <x:c r="P7" s="33" t="str">
        <x:v>031 - 2237 - 1273</x:v>
      </x:c>
      <x:c r="Q7" s="33" t="str">
        <x:v>031 - 2237 - 2273</x:v>
      </x:c>
      <x:c r="R7" s="33" t="str">
        <x:v>구매팀 이서연</x:v>
      </x:c>
      <x:c r="S7" s="42"/>
      <x:c r="T7" s="42"/>
      <x:c r="U7" s="33" t="str">
        <x:v>경기도 성남시 분당구 판교역로 13길 5 (삼평동, 미르빌딩 10 2호)</x:v>
      </x:c>
      <x:c r="V7" s="33" t="str">
        <x:v>계산서발행일로부터 익월이내</x:v>
      </x:c>
      <x:c r="W7" s="42"/>
      <x:c r="X7" s="42"/>
      <x:c r="Y7" s="33" t="str">
        <x:v>KRW</x:v>
      </x:c>
      <x:c r="Z7" s="39" t="n">
        <x:v>132810000</x:v>
      </x:c>
      <x:c r="AA7" s="33" t="n">
        <x:f>COUNTIF('품목 정답'!$A$5:$A$204,A7)</x:f>
        <x:v>4</x:v>
      </x:c>
      <x:c r="AB7" s="33" t="str">
        <x:v>루미넥스메디 발주서. 공급자 감성과학, 납품장소 경기도 성남시 분당구 판교역로 13길 5 (삼평동, 미르빌딩 10 2호), 총액 132,810,000원, 품목 4행.</x:v>
      </x:c>
      <x:c r="AC7" s="33" t="str">
        <x:v>발주서, 감성과학, 루미넥스메디, 구매팀 이서연, 레이저장비, LR1000, LR-CORE2, LP2000, LP1000</x:v>
      </x:c>
      <x:c r="AD7" s="33" t="str">
        <x:v>p.1: 공급자·발주자 기본정보·발주조건·발주내용·합계금액</x:v>
      </x:c>
      <x:c r="AE7" s="39" t="n">
        <x:f>SUMIF('품목 정답'!$A$5:$A$204,A7,'품목 정답'!$I$5:$I$204)</x:f>
        <x:v>132810000</x:v>
      </x:c>
      <x:c r="AF7" s="33" t="str">
        <x:f>IF(AE7=Z7,"일치","불일치")</x:f>
        <x:v>일치</x:v>
      </x:c>
      <x:c r="AG7" s="34" t="str">
        <x:v>[검증]</x:v>
      </x:c>
    </x:row>
    <x:row r="8" ht="48" customHeight="1">
      <x:c r="A8" s="32" t="str">
        <x:v>PO-003</x:v>
      </x:c>
      <x:c r="B8" s="33" t="str">
        <x:v>발주서_3.pdf</x:v>
      </x:c>
      <x:c r="C8" s="33" t="str">
        <x:v>PDF</x:v>
      </x:c>
      <x:c r="D8" s="33" t="n">
        <x:v>1</x:v>
      </x:c>
      <x:c r="E8" s="33" t="str">
        <x:v>발주서</x:v>
      </x:c>
      <x:c r="F8" s="33" t="str">
        <x:v>발주서</x:v>
      </x:c>
      <x:c r="G8" s="33" t="str">
        <x:v>감성과학</x:v>
      </x:c>
      <x:c r="H8" s="33" t="str">
        <x:v>288 - 46 0 00419</x:v>
      </x:c>
      <x:c r="I8" s="33" t="str">
        <x:v>서울특별시 종로구 삼일대로32길 36, 지하1층 101호. (익선동, 운현신화타워)</x:v>
      </x:c>
      <x:c r="J8" s="33" t="str">
        <x:v>02 - 801 - 1234</x:v>
      </x:c>
      <x:c r="K8" s="33" t="str">
        <x:v>02 - 801 - 1233</x:v>
      </x:c>
      <x:c r="L8" s="33" t="str">
        <x:v>영업1팀 홍길동</x:v>
      </x:c>
      <x:c r="M8" s="33" t="str">
        <x:v>한결헬스케어</x:v>
      </x:c>
      <x:c r="N8" s="33" t="str">
        <x:v>103 - 26 - 10275</x:v>
      </x:c>
      <x:c r="O8" s="33" t="str">
        <x:v>경기도 수원시 영통구 광교중앙로 14길 8 (이의동, 미르빌딩 1 03호)</x:v>
      </x:c>
      <x:c r="P8" s="33" t="str">
        <x:v>032 - 2374 - 1446</x:v>
      </x:c>
      <x:c r="Q8" s="33" t="str">
        <x:v>032 - 2374 - 2446</x:v>
      </x:c>
      <x:c r="R8" s="33" t="str">
        <x:v>구매팀 박현우</x:v>
      </x:c>
      <x:c r="S8" s="42"/>
      <x:c r="T8" s="42"/>
      <x:c r="U8" s="33" t="str">
        <x:v>경기도 수원시 영통구 광교중앙로 14길 8 (이의동, 미르빌딩 1 03호)</x:v>
      </x:c>
      <x:c r="V8" s="33" t="str">
        <x:v>계산서발행일로부터 익월이내</x:v>
      </x:c>
      <x:c r="W8" s="42"/>
      <x:c r="X8" s="42"/>
      <x:c r="Y8" s="33" t="str">
        <x:v>KRW</x:v>
      </x:c>
      <x:c r="Z8" s="39" t="n">
        <x:v>88760000</x:v>
      </x:c>
      <x:c r="AA8" s="33" t="n">
        <x:f>COUNTIF('품목 정답'!$A$5:$A$204,A8)</x:f>
        <x:v>4</x:v>
      </x:c>
      <x:c r="AB8" s="33" t="str">
        <x:v>한결헬스케어 발주서. 공급자 감성과학, 납품장소 경기도 수원시 영통구 광교중앙로 14길 8 (이의동, 미르빌딩 1 03호), 총액 88,760,000원, 품목 4행.</x:v>
      </x:c>
      <x:c r="AC8" s="33" t="str">
        <x:v>발주서, 감성과학, 한결헬스케어, 구매팀 박현우, 레이저장비, LR-PRO, LR-CORE2, LR-CORE3, LR2000</x:v>
      </x:c>
      <x:c r="AD8" s="33" t="str">
        <x:v>p.1: 공급자·발주자 기본정보·발주조건·발주내용·합계금액</x:v>
      </x:c>
      <x:c r="AE8" s="39" t="n">
        <x:f>SUMIF('품목 정답'!$A$5:$A$204,A8,'품목 정답'!$I$5:$I$204)</x:f>
        <x:v>88760000</x:v>
      </x:c>
      <x:c r="AF8" s="33" t="str">
        <x:f>IF(AE8=Z8,"일치","불일치")</x:f>
        <x:v>일치</x:v>
      </x:c>
      <x:c r="AG8" s="34" t="str">
        <x:v>[검증]</x:v>
      </x:c>
    </x:row>
    <x:row r="9" ht="48" customHeight="1">
      <x:c r="A9" s="32" t="str">
        <x:v>PO-004</x:v>
      </x:c>
      <x:c r="B9" s="33" t="str">
        <x:v>발주서_4.pdf</x:v>
      </x:c>
      <x:c r="C9" s="33" t="str">
        <x:v>PDF</x:v>
      </x:c>
      <x:c r="D9" s="33" t="n">
        <x:v>1</x:v>
      </x:c>
      <x:c r="E9" s="33" t="str">
        <x:v>발주서</x:v>
      </x:c>
      <x:c r="F9" s="33" t="str">
        <x:v>발주서</x:v>
      </x:c>
      <x:c r="G9" s="33" t="str">
        <x:v>감성과학</x:v>
      </x:c>
      <x:c r="H9" s="33" t="str">
        <x:v>288 - 46 0 00419</x:v>
      </x:c>
      <x:c r="I9" s="33" t="str">
        <x:v>서울특별시 종로구 삼일대로32길 36, 지하1층 101호. (익선동, 운현신화타워)</x:v>
      </x:c>
      <x:c r="J9" s="33" t="str">
        <x:v>02 - 801 - 1234</x:v>
      </x:c>
      <x:c r="K9" s="33" t="str">
        <x:v>02 - 801 - 1233</x:v>
      </x:c>
      <x:c r="L9" s="33" t="str">
        <x:v>영업1팀 홍길동</x:v>
      </x:c>
      <x:c r="M9" s="33" t="str">
        <x:v>리온메디텍</x:v>
      </x:c>
      <x:c r="N9" s="33" t="str">
        <x:v>104 - 33 - 10412</x:v>
      </x:c>
      <x:c r="O9" s="33" t="str">
        <x:v>인천광역시 연수구 송도과학로 15길 11 (송도동, 미르빌딩 10 4호)</x:v>
      </x:c>
      <x:c r="P9" s="33" t="str">
        <x:v>042 - 2511 - 1619</x:v>
      </x:c>
      <x:c r="Q9" s="33" t="str">
        <x:v>042 - 2511 - 2619</x:v>
      </x:c>
      <x:c r="R9" s="33" t="str">
        <x:v>구매팀 최민서</x:v>
      </x:c>
      <x:c r="S9" s="42"/>
      <x:c r="T9" s="42"/>
      <x:c r="U9" s="33" t="str">
        <x:v>인천광역시 연수구 송도과학로 15길 11 (송도동, 미르빌딩 10 4호)</x:v>
      </x:c>
      <x:c r="V9" s="33" t="str">
        <x:v>계산서발행일로부터 익월이내</x:v>
      </x:c>
      <x:c r="W9" s="42"/>
      <x:c r="X9" s="42"/>
      <x:c r="Y9" s="33" t="str">
        <x:v>KRW</x:v>
      </x:c>
      <x:c r="Z9" s="39" t="n">
        <x:v>77190000</x:v>
      </x:c>
      <x:c r="AA9" s="33" t="n">
        <x:f>COUNTIF('품목 정답'!$A$5:$A$204,A9)</x:f>
        <x:v>4</x:v>
      </x:c>
      <x:c r="AB9" s="33" t="str">
        <x:v>리온메디텍 발주서. 공급자 감성과학, 납품장소 인천광역시 연수구 송도과학로 15길 11 (송도동, 미르빌딩 10 4호), 총액 77,190,000원, 품목 4행.</x:v>
      </x:c>
      <x:c r="AC9" s="33" t="str">
        <x:v>발주서, 감성과학, 리온메디텍, 구매팀 최민서, 레이저장비, LP200, LP2000, LP1500, LR-PRO</x:v>
      </x:c>
      <x:c r="AD9" s="33" t="str">
        <x:v>p.1: 공급자·발주자 기본정보·발주조건·발주내용·합계금액</x:v>
      </x:c>
      <x:c r="AE9" s="39" t="n">
        <x:f>SUMIF('품목 정답'!$A$5:$A$204,A9,'품목 정답'!$I$5:$I$204)</x:f>
        <x:v>77190000</x:v>
      </x:c>
      <x:c r="AF9" s="33" t="str">
        <x:f>IF(AE9=Z9,"일치","불일치")</x:f>
        <x:v>일치</x:v>
      </x:c>
      <x:c r="AG9" s="34" t="str">
        <x:v>[검증]</x:v>
      </x:c>
    </x:row>
    <x:row r="10" ht="48" customHeight="1">
      <x:c r="A10" s="32" t="str">
        <x:v>PO-005</x:v>
      </x:c>
      <x:c r="B10" s="33" t="str">
        <x:v>발주서_5.pdf</x:v>
      </x:c>
      <x:c r="C10" s="33" t="str">
        <x:v>PDF</x:v>
      </x:c>
      <x:c r="D10" s="33" t="n">
        <x:v>1</x:v>
      </x:c>
      <x:c r="E10" s="33" t="str">
        <x:v>발주서</x:v>
      </x:c>
      <x:c r="F10" s="33" t="str">
        <x:v>발주서</x:v>
      </x:c>
      <x:c r="G10" s="33" t="str">
        <x:v>감성과학</x:v>
      </x:c>
      <x:c r="H10" s="33" t="str">
        <x:v>288 - 46 0 00419</x:v>
      </x:c>
      <x:c r="I10" s="33" t="str">
        <x:v>서울특별시 종로구 삼일대로32길 36, 지하1층 101호. (익선동, 운현신화타워)</x:v>
      </x:c>
      <x:c r="J10" s="33" t="str">
        <x:v>02 - 801 - 1234</x:v>
      </x:c>
      <x:c r="K10" s="33" t="str">
        <x:v>02 - 801 - 1233</x:v>
      </x:c>
      <x:c r="L10" s="33" t="str">
        <x:v>영업1팀 홍길동</x:v>
      </x:c>
      <x:c r="M10" s="33" t="str">
        <x:v>더원센서랩</x:v>
      </x:c>
      <x:c r="N10" s="33" t="str">
        <x:v>105 - 40 - 10549</x:v>
      </x:c>
      <x:c r="O10" s="33" t="str">
        <x:v>대전광역시 유성구 테크노중앙로 16길 14 (관평동, 미르빌딩 105호)</x:v>
      </x:c>
      <x:c r="P10" s="33" t="str">
        <x:v>051 - 2648 - 1792</x:v>
      </x:c>
      <x:c r="Q10" s="33" t="str">
        <x:v>051 - 2648 - 2792</x:v>
      </x:c>
      <x:c r="R10" s="33" t="str">
        <x:v>구매팀 정하준</x:v>
      </x:c>
      <x:c r="S10" s="42"/>
      <x:c r="T10" s="42"/>
      <x:c r="U10" s="33" t="str">
        <x:v>대전광역시 유성구 테크노중앙로 16길 14 (관평동, 미르빌딩 105호)</x:v>
      </x:c>
      <x:c r="V10" s="33" t="str">
        <x:v>계산서발행일로부터 익월이내</x:v>
      </x:c>
      <x:c r="W10" s="42"/>
      <x:c r="X10" s="42"/>
      <x:c r="Y10" s="33" t="str">
        <x:v>KRW</x:v>
      </x:c>
      <x:c r="Z10" s="39" t="n">
        <x:v>126860000</x:v>
      </x:c>
      <x:c r="AA10" s="33" t="n">
        <x:f>COUNTIF('품목 정답'!$A$5:$A$204,A10)</x:f>
        <x:v>4</x:v>
      </x:c>
      <x:c r="AB10" s="33" t="str">
        <x:v>더원센서랩 발주서. 공급자 감성과학, 납품장소 대전광역시 유성구 테크노중앙로 16길 14 (관평동, 미르빌딩 105호), 총액 126,860,000원, 품목 4행.</x:v>
      </x:c>
      <x:c r="AC10" s="33" t="str">
        <x:v>발주서, 감성과학, 더원센서랩, 구매팀 정하준, 레이저장비, LP1000, LR1000, LR-CORE1, LR2000</x:v>
      </x:c>
      <x:c r="AD10" s="33" t="str">
        <x:v>p.1: 공급자·발주자 기본정보·발주조건·발주내용·합계금액</x:v>
      </x:c>
      <x:c r="AE10" s="39" t="n">
        <x:f>SUMIF('품목 정답'!$A$5:$A$204,A10,'품목 정답'!$I$5:$I$204)</x:f>
        <x:v>126860000</x:v>
      </x:c>
      <x:c r="AF10" s="33" t="str">
        <x:f>IF(AE10=Z10,"일치","불일치")</x:f>
        <x:v>일치</x:v>
      </x:c>
      <x:c r="AG10" s="34" t="str">
        <x:v>[검증]</x:v>
      </x:c>
    </x:row>
    <x:row r="11" ht="48" customHeight="1">
      <x:c r="A11" s="32" t="str">
        <x:v>PO-006</x:v>
      </x:c>
      <x:c r="B11" s="33" t="str">
        <x:v>발주서_6.pdf</x:v>
      </x:c>
      <x:c r="C11" s="33" t="str">
        <x:v>PDF</x:v>
      </x:c>
      <x:c r="D11" s="33" t="n">
        <x:v>1</x:v>
      </x:c>
      <x:c r="E11" s="33" t="str">
        <x:v>발주서</x:v>
      </x:c>
      <x:c r="F11" s="33" t="str">
        <x:v>발주서</x:v>
      </x:c>
      <x:c r="G11" s="33" t="str">
        <x:v>감성과학</x:v>
      </x:c>
      <x:c r="H11" s="33" t="str">
        <x:v>288 - 46 0 00419</x:v>
      </x:c>
      <x:c r="I11" s="33" t="str">
        <x:v>서울특별시 종로구 삼일대로32길 36, 지하1층 101호. (익선동, 운현신화타워)</x:v>
      </x:c>
      <x:c r="J11" s="33" t="str">
        <x:v>02 - 801 - 1234</x:v>
      </x:c>
      <x:c r="K11" s="33" t="str">
        <x:v>02 - 801 - 1233</x:v>
      </x:c>
      <x:c r="L11" s="33" t="str">
        <x:v>영업1팀 홍길동</x:v>
      </x:c>
      <x:c r="M11" s="33" t="str">
        <x:v>아크로바이오</x:v>
      </x:c>
      <x:c r="N11" s="33" t="str">
        <x:v>106 - 47 - 10686</x:v>
      </x:c>
      <x:c r="O11" s="33" t="str">
        <x:v>부산광역시 해운대구 센텀중앙로 17길 17 (우동, 미르빌딩 10 6호)</x:v>
      </x:c>
      <x:c r="P11" s="33" t="str">
        <x:v>052 - 2785 - 1965</x:v>
      </x:c>
      <x:c r="Q11" s="33" t="str">
        <x:v>052 - 2785 - 2965</x:v>
      </x:c>
      <x:c r="R11" s="33" t="str">
        <x:v>구매팀 강유진</x:v>
      </x:c>
      <x:c r="S11" s="42"/>
      <x:c r="T11" s="42"/>
      <x:c r="U11" s="33" t="str">
        <x:v>부산광역시 해운대구 센텀중앙로 17길 17 (우동, 미르빌딩 10 6호)</x:v>
      </x:c>
      <x:c r="V11" s="33" t="str">
        <x:v>계산서발행일로부터 익월이내</x:v>
      </x:c>
      <x:c r="W11" s="42"/>
      <x:c r="X11" s="42"/>
      <x:c r="Y11" s="33" t="str">
        <x:v>KRW</x:v>
      </x:c>
      <x:c r="Z11" s="39" t="n">
        <x:v>85260000</x:v>
      </x:c>
      <x:c r="AA11" s="33" t="n">
        <x:f>COUNTIF('품목 정답'!$A$5:$A$204,A11)</x:f>
        <x:v>4</x:v>
      </x:c>
      <x:c r="AB11" s="33" t="str">
        <x:v>아크로바이오 발주서. 공급자 감성과학, 납품장소 부산광역시 해운대구 센텀중앙로 17길 17 (우동, 미르빌딩 10 6호), 총액 85,260,000원, 품목 4행.</x:v>
      </x:c>
      <x:c r="AC11" s="33" t="str">
        <x:v>발주서, 감성과학, 아크로바이오, 구매팀 강유진, 레이저장비, LR2000, LP100, LR-CORE2, LP200</x:v>
      </x:c>
      <x:c r="AD11" s="33" t="str">
        <x:v>p.1: 공급자·발주자 기본정보·발주조건·발주내용·합계금액</x:v>
      </x:c>
      <x:c r="AE11" s="39" t="n">
        <x:f>SUMIF('품목 정답'!$A$5:$A$204,A11,'품목 정답'!$I$5:$I$204)</x:f>
        <x:v>85260000</x:v>
      </x:c>
      <x:c r="AF11" s="33" t="str">
        <x:f>IF(AE11=Z11,"일치","불일치")</x:f>
        <x:v>일치</x:v>
      </x:c>
      <x:c r="AG11" s="34" t="str">
        <x:v>[검증]</x:v>
      </x:c>
    </x:row>
    <x:row r="12" ht="48" customHeight="1">
      <x:c r="A12" s="32" t="str">
        <x:v>PO-007</x:v>
      </x:c>
      <x:c r="B12" s="33" t="str">
        <x:v>발주서_7.pdf</x:v>
      </x:c>
      <x:c r="C12" s="33" t="str">
        <x:v>PDF</x:v>
      </x:c>
      <x:c r="D12" s="33" t="n">
        <x:v>1</x:v>
      </x:c>
      <x:c r="E12" s="33" t="str">
        <x:v>발주서</x:v>
      </x:c>
      <x:c r="F12" s="33" t="str">
        <x:v>발주서</x:v>
      </x:c>
      <x:c r="G12" s="33" t="str">
        <x:v>감성과학</x:v>
      </x:c>
      <x:c r="H12" s="33" t="str">
        <x:v>288 - 46 0 00419</x:v>
      </x:c>
      <x:c r="I12" s="33" t="str">
        <x:v>서울특별시 종로구 삼일대로32길 36, 지하1층 101호. (익선동, 운현신화타워)</x:v>
      </x:c>
      <x:c r="J12" s="33" t="str">
        <x:v>02 - 801 - 1234</x:v>
      </x:c>
      <x:c r="K12" s="33" t="str">
        <x:v>02 - 801 - 1233</x:v>
      </x:c>
      <x:c r="L12" s="33" t="str">
        <x:v>영업1팀 홍길동</x:v>
      </x:c>
      <x:c r="M12" s="33" t="str">
        <x:v>비전메디솔루션</x:v>
      </x:c>
      <x:c r="N12" s="33" t="str">
        <x:v>107 - 54 - 10823</x:v>
      </x:c>
      <x:c r="O12" s="33" t="str">
        <x:v>대구광역시 동구 동대구로 18길 2 (신서동, 미르빌딩 107호)</x:v>
      </x:c>
      <x:c r="P12" s="33" t="str">
        <x:v>053 - 2922 - 2138</x:v>
      </x:c>
      <x:c r="Q12" s="33" t="str">
        <x:v>053 - 2922 - 3138</x:v>
      </x:c>
      <x:c r="R12" s="33" t="str">
        <x:v>구매팀 조시우</x:v>
      </x:c>
      <x:c r="S12" s="42"/>
      <x:c r="T12" s="42"/>
      <x:c r="U12" s="33" t="str">
        <x:v>대구광역시 동구 동대구로 18길 2 (신서동, 미르빌딩 107호)</x:v>
      </x:c>
      <x:c r="V12" s="33" t="str">
        <x:v>계산서발행일로부터 익월이내</x:v>
      </x:c>
      <x:c r="W12" s="42"/>
      <x:c r="X12" s="42"/>
      <x:c r="Y12" s="33" t="str">
        <x:v>KRW</x:v>
      </x:c>
      <x:c r="Z12" s="39" t="n">
        <x:v>100470000</x:v>
      </x:c>
      <x:c r="AA12" s="33" t="n">
        <x:f>COUNTIF('품목 정답'!$A$5:$A$204,A12)</x:f>
        <x:v>4</x:v>
      </x:c>
      <x:c r="AB12" s="33" t="str">
        <x:v>비전메디솔루션 발주서. 공급자 감성과학, 납품장소 대구광역시 동구 동대구로 18길 2 (신서동, 미르빌딩 107호), 총액 100,470,000원, 품목 4행.</x:v>
      </x:c>
      <x:c r="AC12" s="33" t="str">
        <x:v>발주서, 감성과학, 비전메디솔루션, 구매팀 조시우, 레이저장비, LR-CORE3, LR-CORE2, LP1000, LR-PRO</x:v>
      </x:c>
      <x:c r="AD12" s="33" t="str">
        <x:v>p.1: 공급자·발주자 기본정보·발주조건·발주내용·합계금액</x:v>
      </x:c>
      <x:c r="AE12" s="39" t="n">
        <x:f>SUMIF('품목 정답'!$A$5:$A$204,A12,'품목 정답'!$I$5:$I$204)</x:f>
        <x:v>100470000</x:v>
      </x:c>
      <x:c r="AF12" s="33" t="str">
        <x:f>IF(AE12=Z12,"일치","불일치")</x:f>
        <x:v>일치</x:v>
      </x:c>
      <x:c r="AG12" s="34" t="str">
        <x:v>[검증]</x:v>
      </x:c>
    </x:row>
    <x:row r="13" ht="48" customHeight="1">
      <x:c r="A13" s="32" t="str">
        <x:v>PO-008</x:v>
      </x:c>
      <x:c r="B13" s="33" t="str">
        <x:v>발주서_8.pdf</x:v>
      </x:c>
      <x:c r="C13" s="33" t="str">
        <x:v>PDF</x:v>
      </x:c>
      <x:c r="D13" s="33" t="n">
        <x:v>1</x:v>
      </x:c>
      <x:c r="E13" s="33" t="str">
        <x:v>발주서</x:v>
      </x:c>
      <x:c r="F13" s="33" t="str">
        <x:v>발주서</x:v>
      </x:c>
      <x:c r="G13" s="33" t="str">
        <x:v>감성과학</x:v>
      </x:c>
      <x:c r="H13" s="33" t="str">
        <x:v>288 - 46 0 00419</x:v>
      </x:c>
      <x:c r="I13" s="33" t="str">
        <x:v>서울특별시 종로구 삼일대로32길 36, 지하1층 101호. (익선동, 운현신화타워)</x:v>
      </x:c>
      <x:c r="J13" s="33" t="str">
        <x:v>02 - 801 - 1234</x:v>
      </x:c>
      <x:c r="K13" s="33" t="str">
        <x:v>02 - 801 - 1233</x:v>
      </x:c>
      <x:c r="L13" s="33" t="str">
        <x:v>영업1팀 홍길동</x:v>
      </x:c>
      <x:c r="M13" s="33" t="str">
        <x:v>네오웰테크</x:v>
      </x:c>
      <x:c r="N13" s="33" t="str">
        <x:v>108 - 61 - 10960</x:v>
      </x:c>
      <x:c r="O13" s="33" t="str">
        <x:v>광주광역시 북구 첨단과기로 19길 5 (대촌동, 미르빌딩 108호 )</x:v>
      </x:c>
      <x:c r="P13" s="33" t="str">
        <x:v>054 - 3059 - 2311</x:v>
      </x:c>
      <x:c r="Q13" s="33" t="str">
        <x:v>054 - 3059 - 3311</x:v>
      </x:c>
      <x:c r="R13" s="33" t="str">
        <x:v>구매팀 윤서준</x:v>
      </x:c>
      <x:c r="S13" s="42"/>
      <x:c r="T13" s="42"/>
      <x:c r="U13" s="33" t="str">
        <x:v>광주광역시 북구 첨단과기로 19길 5 (대촌동, 미르빌딩 108호 )</x:v>
      </x:c>
      <x:c r="V13" s="33" t="str">
        <x:v>계산서발행일로부터 익월이내</x:v>
      </x:c>
      <x:c r="W13" s="42"/>
      <x:c r="X13" s="42"/>
      <x:c r="Y13" s="33" t="str">
        <x:v>KRW</x:v>
      </x:c>
      <x:c r="Z13" s="39" t="n">
        <x:v>3810000</x:v>
      </x:c>
      <x:c r="AA13" s="33" t="n">
        <x:f>COUNTIF('품목 정답'!$A$5:$A$204,A13)</x:f>
        <x:v>4</x:v>
      </x:c>
      <x:c r="AB13" s="33" t="str">
        <x:v>네오웰테크 발주서. 공급자 감성과학, 납품장소 광주광역시 북구 첨단과기로 19길 5 (대촌동, 미르빌딩 108호 ), 총액 3,810,000원, 품목 4행.</x:v>
      </x:c>
      <x:c r="AC13" s="33" t="str">
        <x:v>발주서, 감성과학, 네오웰테크, 구매팀 윤서준, 레이저장비, LR-CORE3, LP200, LP2000, LP100</x:v>
      </x:c>
      <x:c r="AD13" s="33" t="str">
        <x:v>p.1: 공급자·발주자 기본정보·발주조건·발주내용·합계금액</x:v>
      </x:c>
      <x:c r="AE13" s="39" t="n">
        <x:f>SUMIF('품목 정답'!$A$5:$A$204,A13,'품목 정답'!$I$5:$I$204)</x:f>
        <x:v>3810000</x:v>
      </x:c>
      <x:c r="AF13" s="33" t="str">
        <x:f>IF(AE13=Z13,"일치","불일치")</x:f>
        <x:v>일치</x:v>
      </x:c>
      <x:c r="AG13" s="34" t="str">
        <x:v>[검증]</x:v>
      </x:c>
    </x:row>
    <x:row r="14" ht="48" customHeight="1">
      <x:c r="A14" s="32" t="str">
        <x:v>PO-009</x:v>
      </x:c>
      <x:c r="B14" s="33" t="str">
        <x:v>발주서_9.pdf</x:v>
      </x:c>
      <x:c r="C14" s="33" t="str">
        <x:v>PDF</x:v>
      </x:c>
      <x:c r="D14" s="33" t="n">
        <x:v>1</x:v>
      </x:c>
      <x:c r="E14" s="33" t="str">
        <x:v>발주서</x:v>
      </x:c>
      <x:c r="F14" s="33" t="str">
        <x:v>발주서</x:v>
      </x:c>
      <x:c r="G14" s="33" t="str">
        <x:v>감성과학</x:v>
      </x:c>
      <x:c r="H14" s="33" t="str">
        <x:v>288 - 46 0 00419</x:v>
      </x:c>
      <x:c r="I14" s="33" t="str">
        <x:v>서울특별시 종로구 삼일대로32길 36, 지하1층 101호. (익선동, 운현신화타워)</x:v>
      </x:c>
      <x:c r="J14" s="33" t="str">
        <x:v>02 - 801 - 1234</x:v>
      </x:c>
      <x:c r="K14" s="33" t="str">
        <x:v>02 - 801 - 1233</x:v>
      </x:c>
      <x:c r="L14" s="33" t="str">
        <x:v>영업1팀 홍길동</x:v>
      </x:c>
      <x:c r="M14" s="33" t="str">
        <x:v>솔브릿지메디</x:v>
      </x:c>
      <x:c r="N14" s="33" t="str">
        <x:v>109 - 68 - 11097</x:v>
      </x:c>
      <x:c r="O14" s="33" t="str">
        <x:v>충청북도 청주시 흥덕구 오송생명로 20길 8 (오송읍, 미르빌딩 109호)</x:v>
      </x:c>
      <x:c r="P14" s="33" t="str">
        <x:v>055 - 3196 - 2484</x:v>
      </x:c>
      <x:c r="Q14" s="33" t="str">
        <x:v>055 - 3196 - 3484</x:v>
      </x:c>
      <x:c r="R14" s="33" t="str">
        <x:v>구매팀 장하은</x:v>
      </x:c>
      <x:c r="S14" s="42"/>
      <x:c r="T14" s="42"/>
      <x:c r="U14" s="33" t="str">
        <x:v>충청북도 청주시 흥덕구 오송생명로 20길 8 (오송읍, 미르빌딩 109호)</x:v>
      </x:c>
      <x:c r="V14" s="33" t="str">
        <x:v>계산서발행일로부터 익월이내</x:v>
      </x:c>
      <x:c r="W14" s="42"/>
      <x:c r="X14" s="42"/>
      <x:c r="Y14" s="33" t="str">
        <x:v>KRW</x:v>
      </x:c>
      <x:c r="Z14" s="39" t="n">
        <x:v>67565000</x:v>
      </x:c>
      <x:c r="AA14" s="33" t="n">
        <x:f>COUNTIF('품목 정답'!$A$5:$A$204,A14)</x:f>
        <x:v>4</x:v>
      </x:c>
      <x:c r="AB14" s="33" t="str">
        <x:v>솔브릿지메디 발주서. 공급자 감성과학, 납품장소 충청북도 청주시 흥덕구 오송생명로 20길 8 (오송읍, 미르빌딩 109호), 총액 67,565,000원, 품목 4행.</x:v>
      </x:c>
      <x:c r="AC14" s="33" t="str">
        <x:v>발주서, 감성과학, 솔브릿지메디, 구매팀 장하은, 레이저장비, LR2000, LP2000, LP1500, LR-CORE2</x:v>
      </x:c>
      <x:c r="AD14" s="33" t="str">
        <x:v>p.1: 공급자·발주자 기본정보·발주조건·발주내용·합계금액</x:v>
      </x:c>
      <x:c r="AE14" s="39" t="n">
        <x:f>SUMIF('품목 정답'!$A$5:$A$204,A14,'품목 정답'!$I$5:$I$204)</x:f>
        <x:v>67565000</x:v>
      </x:c>
      <x:c r="AF14" s="33" t="str">
        <x:f>IF(AE14=Z14,"일치","불일치")</x:f>
        <x:v>일치</x:v>
      </x:c>
      <x:c r="AG14" s="34" t="str">
        <x:v>[검증]</x:v>
      </x:c>
    </x:row>
    <x:row r="15" ht="48" customHeight="1">
      <x:c r="A15" s="32" t="str">
        <x:v>PO-010</x:v>
      </x:c>
      <x:c r="B15" s="33" t="str">
        <x:v>발주서_10.pdf</x:v>
      </x:c>
      <x:c r="C15" s="33" t="str">
        <x:v>PDF</x:v>
      </x:c>
      <x:c r="D15" s="33" t="n">
        <x:v>1</x:v>
      </x:c>
      <x:c r="E15" s="33" t="str">
        <x:v>발주서</x:v>
      </x:c>
      <x:c r="F15" s="33" t="str">
        <x:v>발주서</x:v>
      </x:c>
      <x:c r="G15" s="33" t="str">
        <x:v>감성과학</x:v>
      </x:c>
      <x:c r="H15" s="33" t="str">
        <x:v>288 - 46 0 00419</x:v>
      </x:c>
      <x:c r="I15" s="33" t="str">
        <x:v>서울특별시 종로구 삼일대로32길 36, 지하1층 101호. (익선동, 운현신화타워)</x:v>
      </x:c>
      <x:c r="J15" s="33" t="str">
        <x:v>02 - 801 - 1234</x:v>
      </x:c>
      <x:c r="K15" s="33" t="str">
        <x:v>02 - 801 - 1233</x:v>
      </x:c>
      <x:c r="L15" s="33" t="str">
        <x:v>영업1팀 홍길동</x:v>
      </x:c>
      <x:c r="M15" s="33" t="str">
        <x:v>이노큐어</x:v>
      </x:c>
      <x:c r="N15" s="33" t="str">
        <x:v>110 - 75 - 11234</x:v>
      </x:c>
      <x:c r="O15" s="33" t="str">
        <x:v>경상남도 창원시 성산구 창원대로 21길 11 (상남동, 미르빌딩 110호)</x:v>
      </x:c>
      <x:c r="P15" s="33" t="str">
        <x:v>062 - 3333 - 2657</x:v>
      </x:c>
      <x:c r="Q15" s="33" t="str">
        <x:v>062 - 3333 - 3657</x:v>
      </x:c>
      <x:c r="R15" s="33" t="str">
        <x:v>구매팀 임지훈</x:v>
      </x:c>
      <x:c r="S15" s="42"/>
      <x:c r="T15" s="42"/>
      <x:c r="U15" s="33" t="str">
        <x:v>경상남도 창원시 성산구 창원대로 21길 11 (상남동, 미르빌딩 110호)</x:v>
      </x:c>
      <x:c r="V15" s="33" t="str">
        <x:v>계산서발행일로부터 익월이내</x:v>
      </x:c>
      <x:c r="W15" s="42"/>
      <x:c r="X15" s="42"/>
      <x:c r="Y15" s="33" t="str">
        <x:v>KRW</x:v>
      </x:c>
      <x:c r="Z15" s="39" t="n">
        <x:v>35780000</x:v>
      </x:c>
      <x:c r="AA15" s="33" t="n">
        <x:f>COUNTIF('품목 정답'!$A$5:$A$204,A15)</x:f>
        <x:v>4</x:v>
      </x:c>
      <x:c r="AB15" s="33" t="str">
        <x:v>이노큐어 발주서. 공급자 감성과학, 납품장소 경상남도 창원시 성산구 창원대로 21길 11 (상남동, 미르빌딩 110호), 총액 35,780,000원, 품목 4행.</x:v>
      </x:c>
      <x:c r="AC15" s="33" t="str">
        <x:v>발주서, 감성과학, 이노큐어, 구매팀 임지훈, 레이저장비, LR-CORE2, LR-CORE3, LP100, LP1000</x:v>
      </x:c>
      <x:c r="AD15" s="33" t="str">
        <x:v>p.1: 공급자·발주자 기본정보·발주조건·발주내용·합계금액</x:v>
      </x:c>
      <x:c r="AE15" s="39" t="n">
        <x:f>SUMIF('품목 정답'!$A$5:$A$204,A15,'품목 정답'!$I$5:$I$204)</x:f>
        <x:v>35780000</x:v>
      </x:c>
      <x:c r="AF15" s="33" t="str">
        <x:f>IF(AE15=Z15,"일치","불일치")</x:f>
        <x:v>일치</x:v>
      </x:c>
      <x:c r="AG15" s="34" t="str">
        <x:v>[검증]</x:v>
      </x:c>
    </x:row>
    <x:row r="16" ht="48" customHeight="1">
      <x:c r="A16" s="32" t="str">
        <x:v>PO-011</x:v>
      </x:c>
      <x:c r="B16" s="33" t="str">
        <x:v>발주서_11.pdf</x:v>
      </x:c>
      <x:c r="C16" s="33" t="str">
        <x:v>PDF</x:v>
      </x:c>
      <x:c r="D16" s="33" t="n">
        <x:v>1</x:v>
      </x:c>
      <x:c r="E16" s="33" t="str">
        <x:v>발주서</x:v>
      </x:c>
      <x:c r="F16" s="33" t="str">
        <x:v>발주서</x:v>
      </x:c>
      <x:c r="G16" s="33" t="str">
        <x:v>감성과학</x:v>
      </x:c>
      <x:c r="H16" s="33" t="str">
        <x:v>288 - 46 0 00419</x:v>
      </x:c>
      <x:c r="I16" s="33" t="str">
        <x:v>서울특별시 종로구 삼일대로32길 36, 지하1층 101호. (익선동, 운현신화타워)</x:v>
      </x:c>
      <x:c r="J16" s="33" t="str">
        <x:v>02 - 801 - 1234</x:v>
      </x:c>
      <x:c r="K16" s="33" t="str">
        <x:v>02 - 801 - 1233</x:v>
      </x:c>
      <x:c r="L16" s="33" t="str">
        <x:v>영업1팀 홍길동</x:v>
      </x:c>
      <x:c r="M16" s="33" t="str">
        <x:v>포레스트랩</x:v>
      </x:c>
      <x:c r="N16" s="33" t="str">
        <x:v>111 - 82 - 11371</x:v>
      </x:c>
      <x:c r="O16" s="33" t="str">
        <x:v>서울특별시 금천구 가산디지털1로 22길 14 (가산동, 미르빌딩 111호)</x:v>
      </x:c>
      <x:c r="P16" s="33" t="str">
        <x:v>02 - 3470 - 2830</x:v>
      </x:c>
      <x:c r="Q16" s="33" t="str">
        <x:v>02 - 3470 - 3830</x:v>
      </x:c>
      <x:c r="R16" s="33" t="str">
        <x:v>구매팀 한예은</x:v>
      </x:c>
      <x:c r="S16" s="42"/>
      <x:c r="T16" s="42"/>
      <x:c r="U16" s="33" t="str">
        <x:v>서울특별시 금천구 가산디지털1로 22길 14 (가산동, 미르빌딩 111호)</x:v>
      </x:c>
      <x:c r="V16" s="33" t="str">
        <x:v>계산서발행일로부터 익월이내</x:v>
      </x:c>
      <x:c r="W16" s="42"/>
      <x:c r="X16" s="42"/>
      <x:c r="Y16" s="33" t="str">
        <x:v>KRW</x:v>
      </x:c>
      <x:c r="Z16" s="39" t="n">
        <x:v>190100000</x:v>
      </x:c>
      <x:c r="AA16" s="33" t="n">
        <x:f>COUNTIF('품목 정답'!$A$5:$A$204,A16)</x:f>
        <x:v>4</x:v>
      </x:c>
      <x:c r="AB16" s="33" t="str">
        <x:v>포레스트랩 발주서. 공급자 감성과학, 납품장소 서울특별시 금천구 가산디지털1로 22길 14 (가산동, 미르빌딩 111호), 총액 190,100,000원, 품목 4행.</x:v>
      </x:c>
      <x:c r="AC16" s="33" t="str">
        <x:v>발주서, 감성과학, 포레스트랩, 구매팀 한예은, 레이저장비, LR-CORE2, LR-PRO, LR1000, LR2000</x:v>
      </x:c>
      <x:c r="AD16" s="33" t="str">
        <x:v>p.1: 공급자·발주자 기본정보·발주조건·발주내용·합계금액</x:v>
      </x:c>
      <x:c r="AE16" s="39" t="n">
        <x:f>SUMIF('품목 정답'!$A$5:$A$204,A16,'품목 정답'!$I$5:$I$204)</x:f>
        <x:v>190100000</x:v>
      </x:c>
      <x:c r="AF16" s="33" t="str">
        <x:f>IF(AE16=Z16,"일치","불일치")</x:f>
        <x:v>일치</x:v>
      </x:c>
      <x:c r="AG16" s="34" t="str">
        <x:v>[검증]</x:v>
      </x:c>
    </x:row>
    <x:row r="17" ht="48" customHeight="1">
      <x:c r="A17" s="32" t="str">
        <x:v>PO-012</x:v>
      </x:c>
      <x:c r="B17" s="33" t="str">
        <x:v>발주서_12.pdf</x:v>
      </x:c>
      <x:c r="C17" s="33" t="str">
        <x:v>PDF</x:v>
      </x:c>
      <x:c r="D17" s="33" t="n">
        <x:v>1</x:v>
      </x:c>
      <x:c r="E17" s="33" t="str">
        <x:v>발주서</x:v>
      </x:c>
      <x:c r="F17" s="33" t="str">
        <x:v>발주서</x:v>
      </x:c>
      <x:c r="G17" s="33" t="str">
        <x:v>감성과학</x:v>
      </x:c>
      <x:c r="H17" s="33" t="str">
        <x:v>288 - 46 0 00419</x:v>
      </x:c>
      <x:c r="I17" s="33" t="str">
        <x:v>서울특별시 종로구 삼일대로32길 36, 지하1층 101호. (익선동, 운현신화타워)</x:v>
      </x:c>
      <x:c r="J17" s="33" t="str">
        <x:v>02 - 801 - 1234</x:v>
      </x:c>
      <x:c r="K17" s="33" t="str">
        <x:v>02 - 801 - 1233</x:v>
      </x:c>
      <x:c r="L17" s="33" t="str">
        <x:v>영업1팀 홍길동</x:v>
      </x:c>
      <x:c r="M17" s="33" t="str">
        <x:v>모던헬스텍</x:v>
      </x:c>
      <x:c r="N17" s="33" t="str">
        <x:v>112 - 89 - 11508</x:v>
      </x:c>
      <x:c r="O17" s="33" t="str">
        <x:v>경기도 성남시 분당구 판교역로 23길 17 (삼평동, 미르빌딩 1 12호)</x:v>
      </x:c>
      <x:c r="P17" s="33" t="str">
        <x:v>031 - 3607 - 3003</x:v>
      </x:c>
      <x:c r="Q17" s="33" t="str">
        <x:v>031 - 3607 - 4003</x:v>
      </x:c>
      <x:c r="R17" s="33" t="str">
        <x:v>구매팀 오세훈</x:v>
      </x:c>
      <x:c r="S17" s="42"/>
      <x:c r="T17" s="42"/>
      <x:c r="U17" s="33" t="str">
        <x:v>경기도 성남시 분당구 판교역로 23길 17 (삼평동, 미르빌딩 1 12호)</x:v>
      </x:c>
      <x:c r="V17" s="33" t="str">
        <x:v>계산서발행일로부터 익월이내</x:v>
      </x:c>
      <x:c r="W17" s="42"/>
      <x:c r="X17" s="42"/>
      <x:c r="Y17" s="33" t="str">
        <x:v>KRW</x:v>
      </x:c>
      <x:c r="Z17" s="39" t="n">
        <x:v>4820000</x:v>
      </x:c>
      <x:c r="AA17" s="33" t="n">
        <x:f>COUNTIF('품목 정답'!$A$5:$A$204,A17)</x:f>
        <x:v>4</x:v>
      </x:c>
      <x:c r="AB17" s="33" t="str">
        <x:v>모던헬스텍 발주서. 공급자 감성과학, 납품장소 경기도 성남시 분당구 판교역로 23길 17 (삼평동, 미르빌딩 1 12호), 총액 4,820,000원, 품목 4행.</x:v>
      </x:c>
      <x:c r="AC17" s="33" t="str">
        <x:v>발주서, 감성과학, 모던헬스텍, 구매팀 오세훈, 레이저장비, LP1500, LP100, LP200, LP2000</x:v>
      </x:c>
      <x:c r="AD17" s="33" t="str">
        <x:v>p.1: 공급자·발주자 기본정보·발주조건·발주내용·합계금액</x:v>
      </x:c>
      <x:c r="AE17" s="39" t="n">
        <x:f>SUMIF('품목 정답'!$A$5:$A$204,A17,'품목 정답'!$I$5:$I$204)</x:f>
        <x:v>4820000</x:v>
      </x:c>
      <x:c r="AF17" s="33" t="str">
        <x:f>IF(AE17=Z17,"일치","불일치")</x:f>
        <x:v>일치</x:v>
      </x:c>
      <x:c r="AG17" s="34" t="str">
        <x:v>[검증]</x:v>
      </x:c>
    </x:row>
    <x:row r="18" ht="48" customHeight="1">
      <x:c r="A18" s="32" t="str">
        <x:v>PO-013</x:v>
      </x:c>
      <x:c r="B18" s="33" t="str">
        <x:v>발주서_13.pdf</x:v>
      </x:c>
      <x:c r="C18" s="33" t="str">
        <x:v>PDF</x:v>
      </x:c>
      <x:c r="D18" s="33" t="n">
        <x:v>1</x:v>
      </x:c>
      <x:c r="E18" s="33" t="str">
        <x:v>발주서</x:v>
      </x:c>
      <x:c r="F18" s="33" t="str">
        <x:v>발주서</x:v>
      </x:c>
      <x:c r="G18" s="33" t="str">
        <x:v>감성과학</x:v>
      </x:c>
      <x:c r="H18" s="33" t="str">
        <x:v>288 - 46 0 00419</x:v>
      </x:c>
      <x:c r="I18" s="33" t="str">
        <x:v>서울특별시 종로구 삼일대로32길 36, 지하1층 101호. (익선동, 운현신화타워)</x:v>
      </x:c>
      <x:c r="J18" s="33" t="str">
        <x:v>02 - 801 - 1234</x:v>
      </x:c>
      <x:c r="K18" s="33" t="str">
        <x:v>02 - 801 - 1233</x:v>
      </x:c>
      <x:c r="L18" s="33" t="str">
        <x:v>영업1팀 홍길동</x:v>
      </x:c>
      <x:c r="M18" s="33" t="str">
        <x:v>케이던스바이오</x:v>
      </x:c>
      <x:c r="N18" s="33" t="str">
        <x:v>113 - 18 - 11645</x:v>
      </x:c>
      <x:c r="O18" s="33" t="str">
        <x:v>경기도 수원시 영통구 광교중앙로 24길 2 (이의동, 미르빌딩 1 13호)</x:v>
      </x:c>
      <x:c r="P18" s="33" t="str">
        <x:v>032 - 3744 - 3176</x:v>
      </x:c>
      <x:c r="Q18" s="33" t="str">
        <x:v>032 - 3744 - 4176</x:v>
      </x:c>
      <x:c r="R18" s="33" t="str">
        <x:v>구매팀 신유나</x:v>
      </x:c>
      <x:c r="S18" s="42"/>
      <x:c r="T18" s="42"/>
      <x:c r="U18" s="33" t="str">
        <x:v>경기도 수원시 영통구 광교중앙로 24길 2 (이의동, 미르빌딩 1 13호)</x:v>
      </x:c>
      <x:c r="V18" s="33" t="str">
        <x:v>계산서발행일로부터 익월이내</x:v>
      </x:c>
      <x:c r="W18" s="42"/>
      <x:c r="X18" s="42"/>
      <x:c r="Y18" s="33" t="str">
        <x:v>KRW</x:v>
      </x:c>
      <x:c r="Z18" s="39" t="n">
        <x:v>66640000</x:v>
      </x:c>
      <x:c r="AA18" s="33" t="n">
        <x:f>COUNTIF('품목 정답'!$A$5:$A$204,A18)</x:f>
        <x:v>4</x:v>
      </x:c>
      <x:c r="AB18" s="33" t="str">
        <x:v>케이던스바이오 발주서. 공급자 감성과학, 납품장소 경기도 수원시 영통구 광교중앙로 24길 2 (이의동, 미르빌딩 1 13호), 총액 66,640,000원, 품목 4행.</x:v>
      </x:c>
      <x:c r="AC18" s="33" t="str">
        <x:v>발주서, 감성과학, 케이던스바이오, 구매팀 신유나, 레이저장비, LR1000, LR-CORE3, LP100, LP2000</x:v>
      </x:c>
      <x:c r="AD18" s="33" t="str">
        <x:v>p.1: 공급자·발주자 기본정보·발주조건·발주내용·합계금액</x:v>
      </x:c>
      <x:c r="AE18" s="39" t="n">
        <x:f>SUMIF('품목 정답'!$A$5:$A$204,A18,'품목 정답'!$I$5:$I$204)</x:f>
        <x:v>66640000</x:v>
      </x:c>
      <x:c r="AF18" s="33" t="str">
        <x:f>IF(AE18=Z18,"일치","불일치")</x:f>
        <x:v>일치</x:v>
      </x:c>
      <x:c r="AG18" s="34" t="str">
        <x:v>[검증]</x:v>
      </x:c>
    </x:row>
    <x:row r="19" ht="48" customHeight="1">
      <x:c r="A19" s="32" t="str">
        <x:v>PO-014</x:v>
      </x:c>
      <x:c r="B19" s="33" t="str">
        <x:v>발주서_14.pdf</x:v>
      </x:c>
      <x:c r="C19" s="33" t="str">
        <x:v>PDF</x:v>
      </x:c>
      <x:c r="D19" s="33" t="n">
        <x:v>1</x:v>
      </x:c>
      <x:c r="E19" s="33" t="str">
        <x:v>발주서</x:v>
      </x:c>
      <x:c r="F19" s="33" t="str">
        <x:v>발주서</x:v>
      </x:c>
      <x:c r="G19" s="33" t="str">
        <x:v>감성과학</x:v>
      </x:c>
      <x:c r="H19" s="33" t="str">
        <x:v>288 - 46 0 00419</x:v>
      </x:c>
      <x:c r="I19" s="33" t="str">
        <x:v>서울특별시 종로구 삼일대로32길 36, 지하1층 101호. (익선동, 운현신화타워)</x:v>
      </x:c>
      <x:c r="J19" s="33" t="str">
        <x:v>02 - 801 - 1234</x:v>
      </x:c>
      <x:c r="K19" s="33" t="str">
        <x:v>02 - 801 - 1233</x:v>
      </x:c>
      <x:c r="L19" s="33" t="str">
        <x:v>영업1팀 홍길동</x:v>
      </x:c>
      <x:c r="M19" s="33" t="str">
        <x:v>엘리트메디컬</x:v>
      </x:c>
      <x:c r="N19" s="33" t="str">
        <x:v>114 - 25 - 11782</x:v>
      </x:c>
      <x:c r="O19" s="33" t="str">
        <x:v>인천광역시 연수구 송도과학로 25길 5 (송도동, 미르빌딩 114 호)</x:v>
      </x:c>
      <x:c r="P19" s="33" t="str">
        <x:v>042 - 3881 - 3349</x:v>
      </x:c>
      <x:c r="Q19" s="33" t="str">
        <x:v>042 - 3881 - 4349</x:v>
      </x:c>
      <x:c r="R19" s="33" t="str">
        <x:v>구매팀 배지호</x:v>
      </x:c>
      <x:c r="S19" s="42"/>
      <x:c r="T19" s="42"/>
      <x:c r="U19" s="33" t="str">
        <x:v>인천광역시 연수구 송도과학로 25길 5 (송도동, 미르빌딩 114 호)</x:v>
      </x:c>
      <x:c r="V19" s="33" t="str">
        <x:v>계산서발행일로부터 익월이내</x:v>
      </x:c>
      <x:c r="W19" s="42"/>
      <x:c r="X19" s="42"/>
      <x:c r="Y19" s="33" t="str">
        <x:v>KRW</x:v>
      </x:c>
      <x:c r="Z19" s="39" t="n">
        <x:v>33820000</x:v>
      </x:c>
      <x:c r="AA19" s="33" t="n">
        <x:f>COUNTIF('품목 정답'!$A$5:$A$204,A19)</x:f>
        <x:v>4</x:v>
      </x:c>
      <x:c r="AB19" s="33" t="str">
        <x:v>엘리트메디컬 발주서. 공급자 감성과학, 납품장소 인천광역시 연수구 송도과학로 25길 5 (송도동, 미르빌딩 114 호), 총액 33,820,000원, 품목 4행.</x:v>
      </x:c>
      <x:c r="AC19" s="33" t="str">
        <x:v>발주서, 감성과학, 엘리트메디컬, 구매팀 배지호, 레이저장비, LP2000, LR-CORE2, LP100, LP1000</x:v>
      </x:c>
      <x:c r="AD19" s="33" t="str">
        <x:v>p.1: 공급자·발주자 기본정보·발주조건·발주내용·합계금액</x:v>
      </x:c>
      <x:c r="AE19" s="39" t="n">
        <x:f>SUMIF('품목 정답'!$A$5:$A$204,A19,'품목 정답'!$I$5:$I$204)</x:f>
        <x:v>33820000</x:v>
      </x:c>
      <x:c r="AF19" s="33" t="str">
        <x:f>IF(AE19=Z19,"일치","불일치")</x:f>
        <x:v>일치</x:v>
      </x:c>
      <x:c r="AG19" s="34" t="str">
        <x:v>[검증]</x:v>
      </x:c>
    </x:row>
    <x:row r="20" ht="48" customHeight="1">
      <x:c r="A20" s="32" t="str">
        <x:v>PO-015</x:v>
      </x:c>
      <x:c r="B20" s="33" t="str">
        <x:v>발주서_15.pdf</x:v>
      </x:c>
      <x:c r="C20" s="33" t="str">
        <x:v>PDF</x:v>
      </x:c>
      <x:c r="D20" s="33" t="n">
        <x:v>1</x:v>
      </x:c>
      <x:c r="E20" s="33" t="str">
        <x:v>발주서</x:v>
      </x:c>
      <x:c r="F20" s="33" t="str">
        <x:v>발주서</x:v>
      </x:c>
      <x:c r="G20" s="33" t="str">
        <x:v>감성과학</x:v>
      </x:c>
      <x:c r="H20" s="33" t="str">
        <x:v>288 - 46 0 00419</x:v>
      </x:c>
      <x:c r="I20" s="33" t="str">
        <x:v>서울특별시 종로구 삼일대로32길 36, 지하1층 101호. (익선동, 운현신화타워)</x:v>
      </x:c>
      <x:c r="J20" s="33" t="str">
        <x:v>02 - 801 - 1234</x:v>
      </x:c>
      <x:c r="K20" s="33" t="str">
        <x:v>02 - 801 - 1233</x:v>
      </x:c>
      <x:c r="L20" s="33" t="str">
        <x:v>영업1팀 홍길동</x:v>
      </x:c>
      <x:c r="M20" s="33" t="str">
        <x:v>큐브릭헬스</x:v>
      </x:c>
      <x:c r="N20" s="33" t="str">
        <x:v>115 - 32 - 11919</x:v>
      </x:c>
      <x:c r="O20" s="33" t="str">
        <x:v>대전광역시 유성구 테크노중앙로 26길 8 (관평동, 미르빌딩 1 15호)</x:v>
      </x:c>
      <x:c r="P20" s="33" t="str">
        <x:v>051 - 4018 - 3522</x:v>
      </x:c>
      <x:c r="Q20" s="33" t="str">
        <x:v>051 - 4018 - 4522</x:v>
      </x:c>
      <x:c r="R20" s="33" t="str">
        <x:v>구매팀 권다인</x:v>
      </x:c>
      <x:c r="S20" s="42"/>
      <x:c r="T20" s="42"/>
      <x:c r="U20" s="33" t="str">
        <x:v>대전광역시 유성구 테크노중앙로 26길 8 (관평동, 미르빌딩 1 15호)</x:v>
      </x:c>
      <x:c r="V20" s="33" t="str">
        <x:v>계산서발행일로부터 익월이내</x:v>
      </x:c>
      <x:c r="W20" s="42"/>
      <x:c r="X20" s="42"/>
      <x:c r="Y20" s="33" t="str">
        <x:v>KRW</x:v>
      </x:c>
      <x:c r="Z20" s="39" t="n">
        <x:v>75975000</x:v>
      </x:c>
      <x:c r="AA20" s="33" t="n">
        <x:f>COUNTIF('품목 정답'!$A$5:$A$204,A20)</x:f>
        <x:v>4</x:v>
      </x:c>
      <x:c r="AB20" s="33" t="str">
        <x:v>큐브릭헬스 발주서. 공급자 감성과학, 납품장소 대전광역시 유성구 테크노중앙로 26길 8 (관평동, 미르빌딩 1 15호), 총액 75,975,000원, 품목 4행.</x:v>
      </x:c>
      <x:c r="AC20" s="33" t="str">
        <x:v>발주서, 감성과학, 큐브릭헬스, 구매팀 권다인, 레이저장비, LR-PRO, LP2000, LP200, LR-CORE2</x:v>
      </x:c>
      <x:c r="AD20" s="33" t="str">
        <x:v>p.1: 공급자·발주자 기본정보·발주조건·발주내용·합계금액</x:v>
      </x:c>
      <x:c r="AE20" s="39" t="n">
        <x:f>SUMIF('품목 정답'!$A$5:$A$204,A20,'품목 정답'!$I$5:$I$204)</x:f>
        <x:v>75975000</x:v>
      </x:c>
      <x:c r="AF20" s="33" t="str">
        <x:f>IF(AE20=Z20,"일치","불일치")</x:f>
        <x:v>일치</x:v>
      </x:c>
      <x:c r="AG20" s="34" t="str">
        <x:v>[검증]</x:v>
      </x:c>
    </x:row>
    <x:row r="21" ht="48" customHeight="1">
      <x:c r="A21" s="32" t="str">
        <x:v>PO-016</x:v>
      </x:c>
      <x:c r="B21" s="33" t="str">
        <x:v>발주서_16.pdf</x:v>
      </x:c>
      <x:c r="C21" s="33" t="str">
        <x:v>PDF</x:v>
      </x:c>
      <x:c r="D21" s="33" t="n">
        <x:v>1</x:v>
      </x:c>
      <x:c r="E21" s="33" t="str">
        <x:v>발주서</x:v>
      </x:c>
      <x:c r="F21" s="33" t="str">
        <x:v>발주서</x:v>
      </x:c>
      <x:c r="G21" s="33" t="str">
        <x:v>감성과학</x:v>
      </x:c>
      <x:c r="H21" s="33" t="str">
        <x:v>288 - 46 0 00419</x:v>
      </x:c>
      <x:c r="I21" s="33" t="str">
        <x:v>서울특별시 종로구 삼일대로32길 36, 지하1층 101호. (익선동, 운현신화타워)</x:v>
      </x:c>
      <x:c r="J21" s="33" t="str">
        <x:v>02 - 801 - 1234</x:v>
      </x:c>
      <x:c r="K21" s="33" t="str">
        <x:v>02 - 801 - 1233</x:v>
      </x:c>
      <x:c r="L21" s="33" t="str">
        <x:v>영업1팀 홍길동</x:v>
      </x:c>
      <x:c r="M21" s="33" t="str">
        <x:v>코어링크메디</x:v>
      </x:c>
      <x:c r="N21" s="33" t="str">
        <x:v>116 - 39 - 12056</x:v>
      </x:c>
      <x:c r="O21" s="33" t="str">
        <x:v>부산광역시 해운대구 센텀중앙로 27길 11 (우동, 미르빌딩 11 6호)</x:v>
      </x:c>
      <x:c r="P21" s="33" t="str">
        <x:v>052 - 4155 - 3695</x:v>
      </x:c>
      <x:c r="Q21" s="33" t="str">
        <x:v>052 - 4155 - 4695</x:v>
      </x:c>
      <x:c r="R21" s="33" t="str">
        <x:v>구매팀 서준혁</x:v>
      </x:c>
      <x:c r="S21" s="42"/>
      <x:c r="T21" s="42"/>
      <x:c r="U21" s="33" t="str">
        <x:v>부산광역시 해운대구 센텀중앙로 27길 11 (우동, 미르빌딩 11 6호)</x:v>
      </x:c>
      <x:c r="V21" s="33" t="str">
        <x:v>계산서발행일로부터 익월이내</x:v>
      </x:c>
      <x:c r="W21" s="42"/>
      <x:c r="X21" s="42"/>
      <x:c r="Y21" s="33" t="str">
        <x:v>KRW</x:v>
      </x:c>
      <x:c r="Z21" s="39" t="n">
        <x:v>3975000</x:v>
      </x:c>
      <x:c r="AA21" s="33" t="n">
        <x:f>COUNTIF('품목 정답'!$A$5:$A$204,A21)</x:f>
        <x:v>4</x:v>
      </x:c>
      <x:c r="AB21" s="33" t="str">
        <x:v>코어링크메디 발주서. 공급자 감성과학, 납품장소 부산광역시 해운대구 센텀중앙로 27길 11 (우동, 미르빌딩 11 6호), 총액 3,975,000원, 품목 4행.</x:v>
      </x:c>
      <x:c r="AC21" s="33" t="str">
        <x:v>발주서, 감성과학, 코어링크메디, 구매팀 서준혁, 레이저장비, LP2000, LP100, LP1500, LP1000</x:v>
      </x:c>
      <x:c r="AD21" s="33" t="str">
        <x:v>p.1: 공급자·발주자 기본정보·발주조건·발주내용·합계금액</x:v>
      </x:c>
      <x:c r="AE21" s="39" t="n">
        <x:f>SUMIF('품목 정답'!$A$5:$A$204,A21,'품목 정답'!$I$5:$I$204)</x:f>
        <x:v>3975000</x:v>
      </x:c>
      <x:c r="AF21" s="33" t="str">
        <x:f>IF(AE21=Z21,"일치","불일치")</x:f>
        <x:v>일치</x:v>
      </x:c>
      <x:c r="AG21" s="34" t="str">
        <x:v>[검증]</x:v>
      </x:c>
    </x:row>
    <x:row r="22" ht="48" customHeight="1">
      <x:c r="A22" s="32" t="str">
        <x:v>PO-017</x:v>
      </x:c>
      <x:c r="B22" s="33" t="str">
        <x:v>발주서_17.pdf</x:v>
      </x:c>
      <x:c r="C22" s="33" t="str">
        <x:v>PDF</x:v>
      </x:c>
      <x:c r="D22" s="33" t="n">
        <x:v>1</x:v>
      </x:c>
      <x:c r="E22" s="33" t="str">
        <x:v>발주서</x:v>
      </x:c>
      <x:c r="F22" s="33" t="str">
        <x:v>발주서</x:v>
      </x:c>
      <x:c r="G22" s="33" t="str">
        <x:v>감성과학</x:v>
      </x:c>
      <x:c r="H22" s="33" t="str">
        <x:v>288 - 46 0 00419</x:v>
      </x:c>
      <x:c r="I22" s="33" t="str">
        <x:v>서울특별시 종로구 삼일대로32길 36, 지하1층 101호. (익선동, 운현신화타워)</x:v>
      </x:c>
      <x:c r="J22" s="33" t="str">
        <x:v>02 - 801 - 1234</x:v>
      </x:c>
      <x:c r="K22" s="33" t="str">
        <x:v>02 - 801 - 1233</x:v>
      </x:c>
      <x:c r="L22" s="33" t="str">
        <x:v>영업1팀 홍길동</x:v>
      </x:c>
      <x:c r="M22" s="33" t="str">
        <x:v>브릿지온바이오</x:v>
      </x:c>
      <x:c r="N22" s="33" t="str">
        <x:v>117 - 46 - 12193</x:v>
      </x:c>
      <x:c r="O22" s="33" t="str">
        <x:v>대구광역시 동구 동대구로 28길 14 (신서동, 미르빌딩 117호)</x:v>
      </x:c>
      <x:c r="P22" s="33" t="str">
        <x:v>053 - 4292 - 3868</x:v>
      </x:c>
      <x:c r="Q22" s="33" t="str">
        <x:v>053 - 4292 - 4868</x:v>
      </x:c>
      <x:c r="R22" s="33" t="str">
        <x:v>구매팀 문채원</x:v>
      </x:c>
      <x:c r="S22" s="42"/>
      <x:c r="T22" s="42"/>
      <x:c r="U22" s="33" t="str">
        <x:v>대구광역시 동구 동대구로 28길 14 (신서동, 미르빌딩 117호)</x:v>
      </x:c>
      <x:c r="V22" s="33" t="str">
        <x:v>계산서발행일로부터 익월이내</x:v>
      </x:c>
      <x:c r="W22" s="42"/>
      <x:c r="X22" s="42"/>
      <x:c r="Y22" s="33" t="str">
        <x:v>KRW</x:v>
      </x:c>
      <x:c r="Z22" s="39" t="n">
        <x:v>72860000</x:v>
      </x:c>
      <x:c r="AA22" s="33" t="n">
        <x:f>COUNTIF('품목 정답'!$A$5:$A$204,A22)</x:f>
        <x:v>4</x:v>
      </x:c>
      <x:c r="AB22" s="33" t="str">
        <x:v>브릿지온바이오 발주서. 공급자 감성과학, 납품장소 대구광역시 동구 동대구로 28길 14 (신서동, 미르빌딩 117호), 총액 72,860,000원, 품목 4행.</x:v>
      </x:c>
      <x:c r="AC22" s="33" t="str">
        <x:v>발주서, 감성과학, 브릿지온바이오, 구매팀 문채원, 레이저장비, LP200, LR1000, LP100, LP1500</x:v>
      </x:c>
      <x:c r="AD22" s="33" t="str">
        <x:v>p.1: 공급자·발주자 기본정보·발주조건·발주내용·합계금액</x:v>
      </x:c>
      <x:c r="AE22" s="39" t="n">
        <x:f>SUMIF('품목 정답'!$A$5:$A$204,A22,'품목 정답'!$I$5:$I$204)</x:f>
        <x:v>72860000</x:v>
      </x:c>
      <x:c r="AF22" s="33" t="str">
        <x:f>IF(AE22=Z22,"일치","불일치")</x:f>
        <x:v>일치</x:v>
      </x:c>
      <x:c r="AG22" s="34" t="str">
        <x:v>[검증]</x:v>
      </x:c>
    </x:row>
    <x:row r="23" ht="48" customHeight="1">
      <x:c r="A23" s="32" t="str">
        <x:v>PO-018</x:v>
      </x:c>
      <x:c r="B23" s="33" t="str">
        <x:v>발주서_18.pdf</x:v>
      </x:c>
      <x:c r="C23" s="33" t="str">
        <x:v>PDF</x:v>
      </x:c>
      <x:c r="D23" s="33" t="n">
        <x:v>1</x:v>
      </x:c>
      <x:c r="E23" s="33" t="str">
        <x:v>발주서</x:v>
      </x:c>
      <x:c r="F23" s="33" t="str">
        <x:v>발주서</x:v>
      </x:c>
      <x:c r="G23" s="33" t="str">
        <x:v>감성과학</x:v>
      </x:c>
      <x:c r="H23" s="33" t="str">
        <x:v>288 - 46 0 00419</x:v>
      </x:c>
      <x:c r="I23" s="33" t="str">
        <x:v>서울특별시 종로구 삼일대로32길 36, 지하1층 101호. (익선동, 운현신화타워)</x:v>
      </x:c>
      <x:c r="J23" s="33" t="str">
        <x:v>02 - 801 - 1234</x:v>
      </x:c>
      <x:c r="K23" s="33" t="str">
        <x:v>02 - 801 - 1233</x:v>
      </x:c>
      <x:c r="L23" s="33" t="str">
        <x:v>영업1팀 홍길동</x:v>
      </x:c>
      <x:c r="M23" s="33" t="str">
        <x:v>아이메트릭스</x:v>
      </x:c>
      <x:c r="N23" s="33" t="str">
        <x:v>118 - 53 - 12330</x:v>
      </x:c>
      <x:c r="O23" s="33" t="str">
        <x:v>광주광역시 북구 첨단과기로 29길 17 (대촌동, 미르빌딩 118 호)</x:v>
      </x:c>
      <x:c r="P23" s="33" t="str">
        <x:v>054 - 4429 - 4041</x:v>
      </x:c>
      <x:c r="Q23" s="33" t="str">
        <x:v>054 - 4429 - 5041</x:v>
      </x:c>
      <x:c r="R23" s="33" t="str">
        <x:v>구매팀 백승현</x:v>
      </x:c>
      <x:c r="S23" s="42"/>
      <x:c r="T23" s="42"/>
      <x:c r="U23" s="33" t="str">
        <x:v>광주광역시 북구 첨단과기로 29길 17 (대촌동, 미르빌딩 118 호)</x:v>
      </x:c>
      <x:c r="V23" s="33" t="str">
        <x:v>계산서발행일로부터 익월이내</x:v>
      </x:c>
      <x:c r="W23" s="42"/>
      <x:c r="X23" s="42"/>
      <x:c r="Y23" s="33" t="str">
        <x:v>KRW</x:v>
      </x:c>
      <x:c r="Z23" s="39" t="n">
        <x:v>52545000</x:v>
      </x:c>
      <x:c r="AA23" s="33" t="n">
        <x:f>COUNTIF('품목 정답'!$A$5:$A$204,A23)</x:f>
        <x:v>4</x:v>
      </x:c>
      <x:c r="AB23" s="33" t="str">
        <x:v>아이메트릭스 발주서. 공급자 감성과학, 납품장소 광주광역시 북구 첨단과기로 29길 17 (대촌동, 미르빌딩 118 호), 총액 52,545,000원, 품목 4행.</x:v>
      </x:c>
      <x:c r="AC23" s="33" t="str">
        <x:v>발주서, 감성과학, 아이메트릭스, 구매팀 백승현, 레이저장비, LR-PRO, LP1000, LP2000, LR2000</x:v>
      </x:c>
      <x:c r="AD23" s="33" t="str">
        <x:v>p.1: 공급자·발주자 기본정보·발주조건·발주내용·합계금액</x:v>
      </x:c>
      <x:c r="AE23" s="39" t="n">
        <x:f>SUMIF('품목 정답'!$A$5:$A$204,A23,'품목 정답'!$I$5:$I$204)</x:f>
        <x:v>52545000</x:v>
      </x:c>
      <x:c r="AF23" s="33" t="str">
        <x:f>IF(AE23=Z23,"일치","불일치")</x:f>
        <x:v>일치</x:v>
      </x:c>
      <x:c r="AG23" s="34" t="str">
        <x:v>[검증]</x:v>
      </x:c>
    </x:row>
    <x:row r="24" ht="48" customHeight="1">
      <x:c r="A24" s="32" t="str">
        <x:v>PO-019</x:v>
      </x:c>
      <x:c r="B24" s="33" t="str">
        <x:v>발주서_19.pdf</x:v>
      </x:c>
      <x:c r="C24" s="33" t="str">
        <x:v>PDF</x:v>
      </x:c>
      <x:c r="D24" s="33" t="n">
        <x:v>1</x:v>
      </x:c>
      <x:c r="E24" s="33" t="str">
        <x:v>발주서</x:v>
      </x:c>
      <x:c r="F24" s="33" t="str">
        <x:v>발주서</x:v>
      </x:c>
      <x:c r="G24" s="33" t="str">
        <x:v>감성과학</x:v>
      </x:c>
      <x:c r="H24" s="33" t="str">
        <x:v>288 - 46 0 00419</x:v>
      </x:c>
      <x:c r="I24" s="33" t="str">
        <x:v>서울특별시 종로구 삼일대로32길 36, 지하1층 101호. (익선동, 운현신화타워)</x:v>
      </x:c>
      <x:c r="J24" s="33" t="str">
        <x:v>02 - 801 - 1234</x:v>
      </x:c>
      <x:c r="K24" s="33" t="str">
        <x:v>02 - 801 - 1233</x:v>
      </x:c>
      <x:c r="L24" s="33" t="str">
        <x:v>영업1팀 홍길동</x:v>
      </x:c>
      <x:c r="M24" s="33" t="str">
        <x:v>프라임센서</x:v>
      </x:c>
      <x:c r="N24" s="33" t="str">
        <x:v>119 - 60 - 12467</x:v>
      </x:c>
      <x:c r="O24" s="33" t="str">
        <x:v>충청북도 청주시 흥덕구 오송생명로 30길 2 (오송읍, 미르빌딩 119호)</x:v>
      </x:c>
      <x:c r="P24" s="33" t="str">
        <x:v>055 - 4566 - 4214</x:v>
      </x:c>
      <x:c r="Q24" s="33" t="str">
        <x:v>055 - 4566 - 5214</x:v>
      </x:c>
      <x:c r="R24" s="33" t="str">
        <x:v>구매팀 유나경</x:v>
      </x:c>
      <x:c r="S24" s="42"/>
      <x:c r="T24" s="42"/>
      <x:c r="U24" s="33" t="str">
        <x:v>충청북도 청주시 흥덕구 오송생명로 30길 2 (오송읍, 미르빌딩 119호)</x:v>
      </x:c>
      <x:c r="V24" s="33" t="str">
        <x:v>계산서발행일로부터 익월이내</x:v>
      </x:c>
      <x:c r="W24" s="42"/>
      <x:c r="X24" s="42"/>
      <x:c r="Y24" s="33" t="str">
        <x:v>KRW</x:v>
      </x:c>
      <x:c r="Z24" s="39" t="n">
        <x:v>61965000</x:v>
      </x:c>
      <x:c r="AA24" s="33" t="n">
        <x:f>COUNTIF('품목 정답'!$A$5:$A$204,A24)</x:f>
        <x:v>4</x:v>
      </x:c>
      <x:c r="AB24" s="33" t="str">
        <x:v>프라임센서 발주서. 공급자 감성과학, 납품장소 충청북도 청주시 흥덕구 오송생명로 30길 2 (오송읍, 미르빌딩 119호), 총액 61,965,000원, 품목 4행.</x:v>
      </x:c>
      <x:c r="AC24" s="33" t="str">
        <x:v>발주서, 감성과학, 프라임센서, 구매팀 유나경, 레이저장비, LP1500, LR-CORE2, LP1000, LR2000</x:v>
      </x:c>
      <x:c r="AD24" s="33" t="str">
        <x:v>p.1: 공급자·발주자 기본정보·발주조건·발주내용·합계금액</x:v>
      </x:c>
      <x:c r="AE24" s="39" t="n">
        <x:f>SUMIF('품목 정답'!$A$5:$A$204,A24,'품목 정답'!$I$5:$I$204)</x:f>
        <x:v>61965000</x:v>
      </x:c>
      <x:c r="AF24" s="33" t="str">
        <x:f>IF(AE24=Z24,"일치","불일치")</x:f>
        <x:v>일치</x:v>
      </x:c>
      <x:c r="AG24" s="34" t="str">
        <x:v>[검증]</x:v>
      </x:c>
    </x:row>
    <x:row r="25" ht="48" customHeight="1">
      <x:c r="A25" s="32" t="str">
        <x:v>PO-020</x:v>
      </x:c>
      <x:c r="B25" s="33" t="str">
        <x:v>발주서_20.pdf</x:v>
      </x:c>
      <x:c r="C25" s="33" t="str">
        <x:v>PDF</x:v>
      </x:c>
      <x:c r="D25" s="33" t="n">
        <x:v>1</x:v>
      </x:c>
      <x:c r="E25" s="33" t="str">
        <x:v>발주서</x:v>
      </x:c>
      <x:c r="F25" s="33" t="str">
        <x:v>발주서</x:v>
      </x:c>
      <x:c r="G25" s="33" t="str">
        <x:v>감성과학</x:v>
      </x:c>
      <x:c r="H25" s="33" t="str">
        <x:v>288 - 46 0 00419</x:v>
      </x:c>
      <x:c r="I25" s="33" t="str">
        <x:v>서울특별시 종로구 삼일대로32길 36, 지하1층 101호. (익선동, 운현신화타워)</x:v>
      </x:c>
      <x:c r="J25" s="33" t="str">
        <x:v>02 - 801 - 1234</x:v>
      </x:c>
      <x:c r="K25" s="33" t="str">
        <x:v>02 - 801 - 1233</x:v>
      </x:c>
      <x:c r="L25" s="33" t="str">
        <x:v>영업1팀 홍길동</x:v>
      </x:c>
      <x:c r="M25" s="33" t="str">
        <x:v>오리진메디텍</x:v>
      </x:c>
      <x:c r="N25" s="33" t="str">
        <x:v>120 - 67 - 12604</x:v>
      </x:c>
      <x:c r="O25" s="33" t="str">
        <x:v>경상남도 창원시 성산구 창원대로 31길 5 (상남동, 미르빌딩 1 20호)</x:v>
      </x:c>
      <x:c r="P25" s="33" t="str">
        <x:v>062 - 4703 - 4387</x:v>
      </x:c>
      <x:c r="Q25" s="33" t="str">
        <x:v>062 - 4703 - 5387</x:v>
      </x:c>
      <x:c r="R25" s="33" t="str">
        <x:v>구매팀 남지호</x:v>
      </x:c>
      <x:c r="S25" s="42"/>
      <x:c r="T25" s="42"/>
      <x:c r="U25" s="33" t="str">
        <x:v>경상남도 창원시 성산구 창원대로 31길 5 (상남동, 미르빌딩 1 20호)</x:v>
      </x:c>
      <x:c r="V25" s="33" t="str">
        <x:v>계산서발행일로부터 익월이내</x:v>
      </x:c>
      <x:c r="W25" s="42"/>
      <x:c r="X25" s="42"/>
      <x:c r="Y25" s="33" t="str">
        <x:v>KRW</x:v>
      </x:c>
      <x:c r="Z25" s="39" t="n">
        <x:v>91860000</x:v>
      </x:c>
      <x:c r="AA25" s="33" t="n">
        <x:f>COUNTIF('품목 정답'!$A$5:$A$204,A25)</x:f>
        <x:v>4</x:v>
      </x:c>
      <x:c r="AB25" s="33" t="str">
        <x:v>오리진메디텍 발주서. 공급자 감성과학, 납품장소 경상남도 창원시 성산구 창원대로 31길 5 (상남동, 미르빌딩 1 20호), 총액 91,860,000원, 품목 4행.</x:v>
      </x:c>
      <x:c r="AC25" s="33" t="str">
        <x:v>발주서, 감성과학, 오리진메디텍, 구매팀 남지호, 레이저장비, LR-PRO, LP100, LR1000, LP200</x:v>
      </x:c>
      <x:c r="AD25" s="33" t="str">
        <x:v>p.1: 공급자·발주자 기본정보·발주조건·발주내용·합계금액</x:v>
      </x:c>
      <x:c r="AE25" s="39" t="n">
        <x:f>SUMIF('품목 정답'!$A$5:$A$204,A25,'품목 정답'!$I$5:$I$204)</x:f>
        <x:v>91860000</x:v>
      </x:c>
      <x:c r="AF25" s="33" t="str">
        <x:f>IF(AE25=Z25,"일치","불일치")</x:f>
        <x:v>일치</x:v>
      </x:c>
      <x:c r="AG25" s="34" t="str">
        <x:v>[검증]</x:v>
      </x:c>
    </x:row>
    <x:row r="26" ht="48" customHeight="1">
      <x:c r="A26" s="32" t="str">
        <x:v>PO-021</x:v>
      </x:c>
      <x:c r="B26" s="33" t="str">
        <x:v>발주서_21.pdf</x:v>
      </x:c>
      <x:c r="C26" s="33" t="str">
        <x:v>PDF</x:v>
      </x:c>
      <x:c r="D26" s="33" t="n">
        <x:v>1</x:v>
      </x:c>
      <x:c r="E26" s="33" t="str">
        <x:v>발주서</x:v>
      </x:c>
      <x:c r="F26" s="33" t="str">
        <x:v>발주서</x:v>
      </x:c>
      <x:c r="G26" s="33" t="str">
        <x:v>감성과학</x:v>
      </x:c>
      <x:c r="H26" s="33" t="str">
        <x:v>288 - 46 0 00419</x:v>
      </x:c>
      <x:c r="I26" s="33" t="str">
        <x:v>서울특별시 종로구 삼일대로32길 36, 지하1층 101호. (익선동, 운현신화타워)</x:v>
      </x:c>
      <x:c r="J26" s="33" t="str">
        <x:v>02 - 801 - 1234</x:v>
      </x:c>
      <x:c r="K26" s="33" t="str">
        <x:v>02 - 801 - 1233</x:v>
      </x:c>
      <x:c r="L26" s="33" t="str">
        <x:v>영업1팀 홍길동</x:v>
      </x:c>
      <x:c r="M26" s="33" t="str">
        <x:v>셀로직스</x:v>
      </x:c>
      <x:c r="N26" s="33" t="str">
        <x:v>121 - 74 - 12741</x:v>
      </x:c>
      <x:c r="O26" s="33" t="str">
        <x:v>서울특별시 금천구 가산디지털1로 32길 8 (가산동, 미르빌딩 121호)</x:v>
      </x:c>
      <x:c r="P26" s="33" t="str">
        <x:v>02 - 4840 - 4560</x:v>
      </x:c>
      <x:c r="Q26" s="33" t="str">
        <x:v>02 - 4840 - 5560</x:v>
      </x:c>
      <x:c r="R26" s="33" t="str">
        <x:v>구매팀 홍서아</x:v>
      </x:c>
      <x:c r="S26" s="42"/>
      <x:c r="T26" s="42"/>
      <x:c r="U26" s="33" t="str">
        <x:v>서울특별시 금천구 가산디지털1로 32길 8 (가산동, 미르빌딩 121호)</x:v>
      </x:c>
      <x:c r="V26" s="33" t="str">
        <x:v>계산서발행일로부터 익월이내</x:v>
      </x:c>
      <x:c r="W26" s="42"/>
      <x:c r="X26" s="42"/>
      <x:c r="Y26" s="33" t="str">
        <x:v>KRW</x:v>
      </x:c>
      <x:c r="Z26" s="39" t="n">
        <x:v>89190000</x:v>
      </x:c>
      <x:c r="AA26" s="33" t="n">
        <x:f>COUNTIF('품목 정답'!$A$5:$A$204,A26)</x:f>
        <x:v>4</x:v>
      </x:c>
      <x:c r="AB26" s="33" t="str">
        <x:v>셀로직스 발주서. 공급자 감성과학, 납품장소 서울특별시 금천구 가산디지털1로 32길 8 (가산동, 미르빌딩 121호), 총액 89,190,000원, 품목 4행.</x:v>
      </x:c>
      <x:c r="AC26" s="33" t="str">
        <x:v>발주서, 감성과학, 셀로직스, 구매팀 홍서아, 레이저장비, LR-PRO, LR-CORE3, LR-CORE2, LP1000</x:v>
      </x:c>
      <x:c r="AD26" s="33" t="str">
        <x:v>p.1: 공급자·발주자 기본정보·발주조건·발주내용·합계금액</x:v>
      </x:c>
      <x:c r="AE26" s="39" t="n">
        <x:f>SUMIF('품목 정답'!$A$5:$A$204,A26,'품목 정답'!$I$5:$I$204)</x:f>
        <x:v>89190000</x:v>
      </x:c>
      <x:c r="AF26" s="33" t="str">
        <x:f>IF(AE26=Z26,"일치","불일치")</x:f>
        <x:v>일치</x:v>
      </x:c>
      <x:c r="AG26" s="34" t="str">
        <x:v>[검증]</x:v>
      </x:c>
    </x:row>
    <x:row r="27" ht="48" customHeight="1">
      <x:c r="A27" s="32" t="str">
        <x:v>PO-022</x:v>
      </x:c>
      <x:c r="B27" s="33" t="str">
        <x:v>발주서_22.pdf</x:v>
      </x:c>
      <x:c r="C27" s="33" t="str">
        <x:v>PDF</x:v>
      </x:c>
      <x:c r="D27" s="33" t="n">
        <x:v>1</x:v>
      </x:c>
      <x:c r="E27" s="33" t="str">
        <x:v>발주서</x:v>
      </x:c>
      <x:c r="F27" s="33" t="str">
        <x:v>발주서</x:v>
      </x:c>
      <x:c r="G27" s="33" t="str">
        <x:v>감성과학</x:v>
      </x:c>
      <x:c r="H27" s="33" t="str">
        <x:v>288 - 46 0 00419</x:v>
      </x:c>
      <x:c r="I27" s="33" t="str">
        <x:v>서울특별시 종로구 삼일대로32길 36, 지하1층 101호. (익선동, 운현신화타워)</x:v>
      </x:c>
      <x:c r="J27" s="33" t="str">
        <x:v>02 - 801 - 1234</x:v>
      </x:c>
      <x:c r="K27" s="33" t="str">
        <x:v>02 - 801 - 1233</x:v>
      </x:c>
      <x:c r="L27" s="33" t="str">
        <x:v>영업1팀 홍길동</x:v>
      </x:c>
      <x:c r="M27" s="33" t="str">
        <x:v>메디오리진</x:v>
      </x:c>
      <x:c r="N27" s="33" t="str">
        <x:v>122 - 81 - 12878</x:v>
      </x:c>
      <x:c r="O27" s="33" t="str">
        <x:v>경기도 성남시 분당구 판교역로 33길 11 (삼평동, 미르빌딩 1 22호)</x:v>
      </x:c>
      <x:c r="P27" s="33" t="str">
        <x:v>031 - 4977 - 4733</x:v>
      </x:c>
      <x:c r="Q27" s="33" t="str">
        <x:v>031 - 4977 - 5733</x:v>
      </x:c>
      <x:c r="R27" s="33" t="str">
        <x:v>구매팀 노건우</x:v>
      </x:c>
      <x:c r="S27" s="42"/>
      <x:c r="T27" s="42"/>
      <x:c r="U27" s="33" t="str">
        <x:v>경기도 성남시 분당구 판교역로 33길 11 (삼평동, 미르빌딩 1 22호)</x:v>
      </x:c>
      <x:c r="V27" s="33" t="str">
        <x:v>계산서발행일로부터 익월이내</x:v>
      </x:c>
      <x:c r="W27" s="42"/>
      <x:c r="X27" s="42"/>
      <x:c r="Y27" s="33" t="str">
        <x:v>KRW</x:v>
      </x:c>
      <x:c r="Z27" s="39" t="n">
        <x:v>84720000</x:v>
      </x:c>
      <x:c r="AA27" s="33" t="n">
        <x:f>COUNTIF('품목 정답'!$A$5:$A$204,A27)</x:f>
        <x:v>4</x:v>
      </x:c>
      <x:c r="AB27" s="33" t="str">
        <x:v>메디오리진 발주서. 공급자 감성과학, 납품장소 경기도 성남시 분당구 판교역로 33길 11 (삼평동, 미르빌딩 1 22호), 총액 84,720,000원, 품목 4행.</x:v>
      </x:c>
      <x:c r="AC27" s="33" t="str">
        <x:v>발주서, 감성과학, 메디오리진, 구매팀 노건우, 레이저장비, LR-PRO, LP100, LR-CORE1, LP200</x:v>
      </x:c>
      <x:c r="AD27" s="33" t="str">
        <x:v>p.1: 공급자·발주자 기본정보·발주조건·발주내용·합계금액</x:v>
      </x:c>
      <x:c r="AE27" s="39" t="n">
        <x:f>SUMIF('품목 정답'!$A$5:$A$204,A27,'품목 정답'!$I$5:$I$204)</x:f>
        <x:v>84720000</x:v>
      </x:c>
      <x:c r="AF27" s="33" t="str">
        <x:f>IF(AE27=Z27,"일치","불일치")</x:f>
        <x:v>일치</x:v>
      </x:c>
      <x:c r="AG27" s="34" t="str">
        <x:v>[검증]</x:v>
      </x:c>
    </x:row>
    <x:row r="28" ht="48" customHeight="1">
      <x:c r="A28" s="32" t="str">
        <x:v>PO-023</x:v>
      </x:c>
      <x:c r="B28" s="33" t="str">
        <x:v>발주서_23.pdf</x:v>
      </x:c>
      <x:c r="C28" s="33" t="str">
        <x:v>PDF</x:v>
      </x:c>
      <x:c r="D28" s="33" t="n">
        <x:v>1</x:v>
      </x:c>
      <x:c r="E28" s="33" t="str">
        <x:v>발주서</x:v>
      </x:c>
      <x:c r="F28" s="33" t="str">
        <x:v>발주서</x:v>
      </x:c>
      <x:c r="G28" s="33" t="str">
        <x:v>감성과학</x:v>
      </x:c>
      <x:c r="H28" s="33" t="str">
        <x:v>288 - 46 0 00419</x:v>
      </x:c>
      <x:c r="I28" s="33" t="str">
        <x:v>서울특별시 종로구 삼일대로32길 36, 지하1층 101호. (익선동, 운현신화타워)</x:v>
      </x:c>
      <x:c r="J28" s="33" t="str">
        <x:v>02 - 801 - 1234</x:v>
      </x:c>
      <x:c r="K28" s="33" t="str">
        <x:v>02 - 801 - 1233</x:v>
      </x:c>
      <x:c r="L28" s="33" t="str">
        <x:v>영업1팀 홍길동</x:v>
      </x:c>
      <x:c r="M28" s="33" t="str">
        <x:v>테라비전랩</x:v>
      </x:c>
      <x:c r="N28" s="33" t="str">
        <x:v>123 - 88 - 13015</x:v>
      </x:c>
      <x:c r="O28" s="33" t="str">
        <x:v>경기도 수원시 영통구 광교중앙로 34길 14 (이의동, 미르빌딩 123호)</x:v>
      </x:c>
      <x:c r="P28" s="33" t="str">
        <x:v>032 - 5114 - 4906</x:v>
      </x:c>
      <x:c r="Q28" s="33" t="str">
        <x:v>032 - 5114 - 5906</x:v>
      </x:c>
      <x:c r="R28" s="33" t="str">
        <x:v>구매팀 송예린</x:v>
      </x:c>
      <x:c r="S28" s="42"/>
      <x:c r="T28" s="42"/>
      <x:c r="U28" s="33" t="str">
        <x:v>경기도 수원시 영통구 광교중앙로 34길 14 (이의동, 미르빌딩 123호)</x:v>
      </x:c>
      <x:c r="V28" s="33" t="str">
        <x:v>계산서발행일로부터 익월이내</x:v>
      </x:c>
      <x:c r="W28" s="42"/>
      <x:c r="X28" s="42"/>
      <x:c r="Y28" s="33" t="str">
        <x:v>KRW</x:v>
      </x:c>
      <x:c r="Z28" s="39" t="n">
        <x:v>31700000</x:v>
      </x:c>
      <x:c r="AA28" s="33" t="n">
        <x:f>COUNTIF('품목 정답'!$A$5:$A$204,A28)</x:f>
        <x:v>4</x:v>
      </x:c>
      <x:c r="AB28" s="33" t="str">
        <x:v>테라비전랩 발주서. 공급자 감성과학, 납품장소 경기도 수원시 영통구 광교중앙로 34길 14 (이의동, 미르빌딩 123호), 총액 31,700,000원, 품목 4행.</x:v>
      </x:c>
      <x:c r="AC28" s="33" t="str">
        <x:v>발주서, 감성과학, 테라비전랩, 구매팀 송예린, 레이저장비, LP1000, LR1000, LR-CORE3, LP1500</x:v>
      </x:c>
      <x:c r="AD28" s="33" t="str">
        <x:v>p.1: 공급자·발주자 기본정보·발주조건·발주내용·합계금액</x:v>
      </x:c>
      <x:c r="AE28" s="39" t="n">
        <x:f>SUMIF('품목 정답'!$A$5:$A$204,A28,'품목 정답'!$I$5:$I$204)</x:f>
        <x:v>31700000</x:v>
      </x:c>
      <x:c r="AF28" s="33" t="str">
        <x:f>IF(AE28=Z28,"일치","불일치")</x:f>
        <x:v>일치</x:v>
      </x:c>
      <x:c r="AG28" s="34" t="str">
        <x:v>[검증]</x:v>
      </x:c>
    </x:row>
    <x:row r="29" ht="48" customHeight="1">
      <x:c r="A29" s="32" t="str">
        <x:v>PO-024</x:v>
      </x:c>
      <x:c r="B29" s="33" t="str">
        <x:v>발주서_24.pdf</x:v>
      </x:c>
      <x:c r="C29" s="33" t="str">
        <x:v>PDF</x:v>
      </x:c>
      <x:c r="D29" s="33" t="n">
        <x:v>1</x:v>
      </x:c>
      <x:c r="E29" s="33" t="str">
        <x:v>발주서</x:v>
      </x:c>
      <x:c r="F29" s="33" t="str">
        <x:v>발주서</x:v>
      </x:c>
      <x:c r="G29" s="33" t="str">
        <x:v>감성과학</x:v>
      </x:c>
      <x:c r="H29" s="33" t="str">
        <x:v>288 - 46 0 00419</x:v>
      </x:c>
      <x:c r="I29" s="33" t="str">
        <x:v>서울특별시 종로구 삼일대로32길 36, 지하1층 101호. (익선동, 운현신화타워)</x:v>
      </x:c>
      <x:c r="J29" s="33" t="str">
        <x:v>02 - 801 - 1234</x:v>
      </x:c>
      <x:c r="K29" s="33" t="str">
        <x:v>02 - 801 - 1233</x:v>
      </x:c>
      <x:c r="L29" s="33" t="str">
        <x:v>영업1팀 홍길동</x:v>
      </x:c>
      <x:c r="M29" s="33" t="str">
        <x:v>바이오리프</x:v>
      </x:c>
      <x:c r="N29" s="33" t="str">
        <x:v>124 - 17 - 13152</x:v>
      </x:c>
      <x:c r="O29" s="33" t="str">
        <x:v>인천광역시 연수구 송도과학로 35길 17 (송도동, 미르빌딩 12 4호)</x:v>
      </x:c>
      <x:c r="P29" s="33" t="str">
        <x:v>042 - 5251 - 5079</x:v>
      </x:c>
      <x:c r="Q29" s="33" t="str">
        <x:v>042 - 5251 - 6079</x:v>
      </x:c>
      <x:c r="R29" s="33" t="str">
        <x:v>구매팀 류지안</x:v>
      </x:c>
      <x:c r="S29" s="42"/>
      <x:c r="T29" s="42"/>
      <x:c r="U29" s="33" t="str">
        <x:v>인천광역시 연수구 송도과학로 35길 17 (송도동, 미르빌딩 12 4호)</x:v>
      </x:c>
      <x:c r="V29" s="33" t="str">
        <x:v>계산서발행일로부터 익월이내</x:v>
      </x:c>
      <x:c r="W29" s="42"/>
      <x:c r="X29" s="42"/>
      <x:c r="Y29" s="33" t="str">
        <x:v>KRW</x:v>
      </x:c>
      <x:c r="Z29" s="39" t="n">
        <x:v>61170000</x:v>
      </x:c>
      <x:c r="AA29" s="33" t="n">
        <x:f>COUNTIF('품목 정답'!$A$5:$A$204,A29)</x:f>
        <x:v>4</x:v>
      </x:c>
      <x:c r="AB29" s="33" t="str">
        <x:v>바이오리프 발주서. 공급자 감성과학, 납품장소 인천광역시 연수구 송도과학로 35길 17 (송도동, 미르빌딩 12 4호), 총액 61,170,000원, 품목 4행.</x:v>
      </x:c>
      <x:c r="AC29" s="33" t="str">
        <x:v>발주서, 감성과학, 바이오리프, 구매팀 류지안, 레이저장비, LR-CORE1, LP1000, LP200, LP100</x:v>
      </x:c>
      <x:c r="AD29" s="33" t="str">
        <x:v>p.1: 공급자·발주자 기본정보·발주조건·발주내용·합계금액</x:v>
      </x:c>
      <x:c r="AE29" s="39" t="n">
        <x:f>SUMIF('품목 정답'!$A$5:$A$204,A29,'품목 정답'!$I$5:$I$204)</x:f>
        <x:v>61170000</x:v>
      </x:c>
      <x:c r="AF29" s="33" t="str">
        <x:f>IF(AE29=Z29,"일치","불일치")</x:f>
        <x:v>일치</x:v>
      </x:c>
      <x:c r="AG29" s="34" t="str">
        <x:v>[검증]</x:v>
      </x:c>
    </x:row>
    <x:row r="30" ht="48" customHeight="1">
      <x:c r="A30" s="32" t="str">
        <x:v>PO-025</x:v>
      </x:c>
      <x:c r="B30" s="33" t="str">
        <x:v>발주서_25.pdf</x:v>
      </x:c>
      <x:c r="C30" s="33" t="str">
        <x:v>PDF</x:v>
      </x:c>
      <x:c r="D30" s="33" t="n">
        <x:v>1</x:v>
      </x:c>
      <x:c r="E30" s="33" t="str">
        <x:v>발주서</x:v>
      </x:c>
      <x:c r="F30" s="33" t="str">
        <x:v>발주서</x:v>
      </x:c>
      <x:c r="G30" s="33" t="str">
        <x:v>감성과학</x:v>
      </x:c>
      <x:c r="H30" s="33" t="str">
        <x:v>288 - 46 0 00419</x:v>
      </x:c>
      <x:c r="I30" s="33" t="str">
        <x:v>서울특별시 종로구 삼일대로32길 36, 지하1층 101호. (익선동, 운현신화타워)</x:v>
      </x:c>
      <x:c r="J30" s="33" t="str">
        <x:v>02 - 801 - 1234</x:v>
      </x:c>
      <x:c r="K30" s="33" t="str">
        <x:v>02 - 801 - 1233</x:v>
      </x:c>
      <x:c r="L30" s="33" t="str">
        <x:v>영업1팀 홍길동</x:v>
      </x:c>
      <x:c r="M30" s="33" t="str">
        <x:v>유니온케어텍</x:v>
      </x:c>
      <x:c r="N30" s="33" t="str">
        <x:v>125 - 24 - 13289</x:v>
      </x:c>
      <x:c r="O30" s="33" t="str">
        <x:v>대전광역시 유성구 테크노중앙로 36길 2 (관평동, 미르빌딩 1 25호)</x:v>
      </x:c>
      <x:c r="P30" s="33" t="str">
        <x:v>051 - 5388 - 5252</x:v>
      </x:c>
      <x:c r="Q30" s="33" t="str">
        <x:v>051 - 5388 - 6252</x:v>
      </x:c>
      <x:c r="R30" s="33" t="str">
        <x:v>구매팀 안도현</x:v>
      </x:c>
      <x:c r="S30" s="42"/>
      <x:c r="T30" s="42"/>
      <x:c r="U30" s="33" t="str">
        <x:v>대전광역시 유성구 테크노중앙로 36길 2 (관평동, 미르빌딩 1 25호)</x:v>
      </x:c>
      <x:c r="V30" s="33" t="str">
        <x:v>계산서발행일로부터 익월이내</x:v>
      </x:c>
      <x:c r="W30" s="42"/>
      <x:c r="X30" s="42"/>
      <x:c r="Y30" s="33" t="str">
        <x:v>KRW</x:v>
      </x:c>
      <x:c r="Z30" s="39" t="n">
        <x:v>59065000</x:v>
      </x:c>
      <x:c r="AA30" s="33" t="n">
        <x:f>COUNTIF('품목 정답'!$A$5:$A$204,A30)</x:f>
        <x:v>4</x:v>
      </x:c>
      <x:c r="AB30" s="33" t="str">
        <x:v>유니온케어텍 발주서. 공급자 감성과학, 납품장소 대전광역시 유성구 테크노중앙로 36길 2 (관평동, 미르빌딩 1 25호), 총액 59,065,000원, 품목 4행.</x:v>
      </x:c>
      <x:c r="AC30" s="33" t="str">
        <x:v>발주서, 감성과학, 유니온케어텍, 구매팀 안도현, 레이저장비, LP100, LP2000, LR-CORE1, LP1500</x:v>
      </x:c>
      <x:c r="AD30" s="33" t="str">
        <x:v>p.1: 공급자·발주자 기본정보·발주조건·발주내용·합계금액</x:v>
      </x:c>
      <x:c r="AE30" s="39" t="n">
        <x:f>SUMIF('품목 정답'!$A$5:$A$204,A30,'품목 정답'!$I$5:$I$204)</x:f>
        <x:v>59065000</x:v>
      </x:c>
      <x:c r="AF30" s="33" t="str">
        <x:f>IF(AE30=Z30,"일치","불일치")</x:f>
        <x:v>일치</x:v>
      </x:c>
      <x:c r="AG30" s="34" t="str">
        <x:v>[검증]</x:v>
      </x:c>
    </x:row>
    <x:row r="31" ht="48" customHeight="1">
      <x:c r="A31" s="32" t="str">
        <x:v>PO-026</x:v>
      </x:c>
      <x:c r="B31" s="33" t="str">
        <x:v>발주서_26.pdf</x:v>
      </x:c>
      <x:c r="C31" s="33" t="str">
        <x:v>PDF</x:v>
      </x:c>
      <x:c r="D31" s="33" t="n">
        <x:v>1</x:v>
      </x:c>
      <x:c r="E31" s="33" t="str">
        <x:v>발주서</x:v>
      </x:c>
      <x:c r="F31" s="33" t="str">
        <x:v>발주서</x:v>
      </x:c>
      <x:c r="G31" s="33" t="str">
        <x:v>감성과학</x:v>
      </x:c>
      <x:c r="H31" s="33" t="str">
        <x:v>288 - 46 0 00419</x:v>
      </x:c>
      <x:c r="I31" s="33" t="str">
        <x:v>서울특별시 종로구 삼일대로32길 36, 지하1층 101호. (익선동, 운현신화타워)</x:v>
      </x:c>
      <x:c r="J31" s="33" t="str">
        <x:v>02 - 801 - 1234</x:v>
      </x:c>
      <x:c r="K31" s="33" t="str">
        <x:v>02 - 801 - 1233</x:v>
      </x:c>
      <x:c r="L31" s="33" t="str">
        <x:v>영업1팀 홍길동</x:v>
      </x:c>
      <x:c r="M31" s="33" t="str">
        <x:v>인사이트메디</x:v>
      </x:c>
      <x:c r="N31" s="33" t="str">
        <x:v>126 - 31 - 13426</x:v>
      </x:c>
      <x:c r="O31" s="33" t="str">
        <x:v>부산광역시 해운대구 센텀중앙로 37길 5 (우동, 미르빌딩 126 호)</x:v>
      </x:c>
      <x:c r="P31" s="33" t="str">
        <x:v>052 - 5525 - 5425</x:v>
      </x:c>
      <x:c r="Q31" s="33" t="str">
        <x:v>052 - 5525 - 6425</x:v>
      </x:c>
      <x:c r="R31" s="33" t="str">
        <x:v>구매팀 양서윤</x:v>
      </x:c>
      <x:c r="S31" s="42"/>
      <x:c r="T31" s="42"/>
      <x:c r="U31" s="33" t="str">
        <x:v>부산광역시 해운대구 센텀중앙로 37길 5 (우동, 미르빌딩 126 호)</x:v>
      </x:c>
      <x:c r="V31" s="33" t="str">
        <x:v>계산서발행일로부터 익월이내</x:v>
      </x:c>
      <x:c r="W31" s="42"/>
      <x:c r="X31" s="42"/>
      <x:c r="Y31" s="33" t="str">
        <x:v>KRW</x:v>
      </x:c>
      <x:c r="Z31" s="39" t="n">
        <x:v>75400000</x:v>
      </x:c>
      <x:c r="AA31" s="33" t="n">
        <x:f>COUNTIF('품목 정답'!$A$5:$A$204,A31)</x:f>
        <x:v>4</x:v>
      </x:c>
      <x:c r="AB31" s="33" t="str">
        <x:v>인사이트메디 발주서. 공급자 감성과학, 납품장소 부산광역시 해운대구 센텀중앙로 37길 5 (우동, 미르빌딩 126 호), 총액 75,400,000원, 품목 4행.</x:v>
      </x:c>
      <x:c r="AC31" s="33" t="str">
        <x:v>발주서, 감성과학, 인사이트메디, 구매팀 양서윤, 레이저장비, LP2000, LR-CORE2, LP100, LR-CORE1</x:v>
      </x:c>
      <x:c r="AD31" s="33" t="str">
        <x:v>p.1: 공급자·발주자 기본정보·발주조건·발주내용·합계금액</x:v>
      </x:c>
      <x:c r="AE31" s="39" t="n">
        <x:f>SUMIF('품목 정답'!$A$5:$A$204,A31,'품목 정답'!$I$5:$I$204)</x:f>
        <x:v>75400000</x:v>
      </x:c>
      <x:c r="AF31" s="33" t="str">
        <x:f>IF(AE31=Z31,"일치","불일치")</x:f>
        <x:v>일치</x:v>
      </x:c>
      <x:c r="AG31" s="34" t="str">
        <x:v>[검증]</x:v>
      </x:c>
    </x:row>
    <x:row r="32" ht="48" customHeight="1">
      <x:c r="A32" s="32" t="str">
        <x:v>PO-027</x:v>
      </x:c>
      <x:c r="B32" s="33" t="str">
        <x:v>발주서_27.pdf</x:v>
      </x:c>
      <x:c r="C32" s="33" t="str">
        <x:v>PDF</x:v>
      </x:c>
      <x:c r="D32" s="33" t="n">
        <x:v>1</x:v>
      </x:c>
      <x:c r="E32" s="33" t="str">
        <x:v>발주서</x:v>
      </x:c>
      <x:c r="F32" s="33" t="str">
        <x:v>발주서</x:v>
      </x:c>
      <x:c r="G32" s="33" t="str">
        <x:v>감성과학</x:v>
      </x:c>
      <x:c r="H32" s="33" t="str">
        <x:v>288 - 46 0 00419</x:v>
      </x:c>
      <x:c r="I32" s="33" t="str">
        <x:v>서울특별시 종로구 삼일대로32길 36, 지하1층 101호. (익선동, 운현신화타워)</x:v>
      </x:c>
      <x:c r="J32" s="33" t="str">
        <x:v>02 - 801 - 1234</x:v>
      </x:c>
      <x:c r="K32" s="33" t="str">
        <x:v>02 - 801 - 1233</x:v>
      </x:c>
      <x:c r="L32" s="33" t="str">
        <x:v>영업1팀 홍길동</x:v>
      </x:c>
      <x:c r="M32" s="33" t="str">
        <x:v>메타큐어</x:v>
      </x:c>
      <x:c r="N32" s="33" t="str">
        <x:v>127 - 38 - 13563</x:v>
      </x:c>
      <x:c r="O32" s="33" t="str">
        <x:v>대구광역시 동구 동대구로 38길 8 (신서동, 미르빌딩 127호)</x:v>
      </x:c>
      <x:c r="P32" s="33" t="str">
        <x:v>053 - 5662 - 5598</x:v>
      </x:c>
      <x:c r="Q32" s="33" t="str">
        <x:v>053 - 5662 - 6598</x:v>
      </x:c>
      <x:c r="R32" s="33" t="str">
        <x:v>구매팀 전우진</x:v>
      </x:c>
      <x:c r="S32" s="42"/>
      <x:c r="T32" s="42"/>
      <x:c r="U32" s="33" t="str">
        <x:v>대구광역시 동구 동대구로 38길 8 (신서동, 미르빌딩 127호)</x:v>
      </x:c>
      <x:c r="V32" s="33" t="str">
        <x:v>계산서발행일로부터 익월이내</x:v>
      </x:c>
      <x:c r="W32" s="42"/>
      <x:c r="X32" s="42"/>
      <x:c r="Y32" s="33" t="str">
        <x:v>KRW</x:v>
      </x:c>
      <x:c r="Z32" s="39" t="n">
        <x:v>67160000</x:v>
      </x:c>
      <x:c r="AA32" s="33" t="n">
        <x:f>COUNTIF('품목 정답'!$A$5:$A$204,A32)</x:f>
        <x:v>4</x:v>
      </x:c>
      <x:c r="AB32" s="33" t="str">
        <x:v>메타큐어 발주서. 공급자 감성과학, 납품장소 대구광역시 동구 동대구로 38길 8 (신서동, 미르빌딩 127호), 총액 67,160,000원, 품목 4행.</x:v>
      </x:c>
      <x:c r="AC32" s="33" t="str">
        <x:v>발주서, 감성과학, 메타큐어, 구매팀 전우진, 레이저장비, LP100, LR-CORE1, LP1000, LP200</x:v>
      </x:c>
      <x:c r="AD32" s="33" t="str">
        <x:v>p.1: 공급자·발주자 기본정보·발주조건·발주내용·합계금액</x:v>
      </x:c>
      <x:c r="AE32" s="39" t="n">
        <x:f>SUMIF('품목 정답'!$A$5:$A$204,A32,'품목 정답'!$I$5:$I$204)</x:f>
        <x:v>67160000</x:v>
      </x:c>
      <x:c r="AF32" s="33" t="str">
        <x:f>IF(AE32=Z32,"일치","불일치")</x:f>
        <x:v>일치</x:v>
      </x:c>
      <x:c r="AG32" s="34" t="str">
        <x:v>[검증]</x:v>
      </x:c>
    </x:row>
    <x:row r="33" ht="48" customHeight="1">
      <x:c r="A33" s="32" t="str">
        <x:v>PO-028</x:v>
      </x:c>
      <x:c r="B33" s="33" t="str">
        <x:v>발주서_28.pdf</x:v>
      </x:c>
      <x:c r="C33" s="33" t="str">
        <x:v>PDF</x:v>
      </x:c>
      <x:c r="D33" s="33" t="n">
        <x:v>1</x:v>
      </x:c>
      <x:c r="E33" s="33" t="str">
        <x:v>발주서</x:v>
      </x:c>
      <x:c r="F33" s="33" t="str">
        <x:v>발주서</x:v>
      </x:c>
      <x:c r="G33" s="33" t="str">
        <x:v>감성과학</x:v>
      </x:c>
      <x:c r="H33" s="33" t="str">
        <x:v>288 - 46 0 00419</x:v>
      </x:c>
      <x:c r="I33" s="33" t="str">
        <x:v>서울특별시 종로구 삼일대로32길 36, 지하1층 101호. (익선동, 운현신화타워)</x:v>
      </x:c>
      <x:c r="J33" s="33" t="str">
        <x:v>02 - 801 - 1234</x:v>
      </x:c>
      <x:c r="K33" s="33" t="str">
        <x:v>02 - 801 - 1233</x:v>
      </x:c>
      <x:c r="L33" s="33" t="str">
        <x:v>영업1팀 홍길동</x:v>
      </x:c>
      <x:c r="M33" s="33" t="str">
        <x:v>에버웰솔루션</x:v>
      </x:c>
      <x:c r="N33" s="33" t="str">
        <x:v>128 - 45 - 13700</x:v>
      </x:c>
      <x:c r="O33" s="33" t="str">
        <x:v>광주광역시 북구 첨단과기로 39길 11 (대촌동, 미르빌딩 128 호)</x:v>
      </x:c>
      <x:c r="P33" s="33" t="str">
        <x:v>054 - 5799 - 5771</x:v>
      </x:c>
      <x:c r="Q33" s="33" t="str">
        <x:v>054 - 5799 - 6771</x:v>
      </x:c>
      <x:c r="R33" s="33" t="str">
        <x:v>구매팀 황민지</x:v>
      </x:c>
      <x:c r="S33" s="42"/>
      <x:c r="T33" s="42"/>
      <x:c r="U33" s="33" t="str">
        <x:v>광주광역시 북구 첨단과기로 39길 11 (대촌동, 미르빌딩 128 호)</x:v>
      </x:c>
      <x:c r="V33" s="33" t="str">
        <x:v>계산서발행일로부터 익월이내</x:v>
      </x:c>
      <x:c r="W33" s="42"/>
      <x:c r="X33" s="42"/>
      <x:c r="Y33" s="33" t="str">
        <x:v>KRW</x:v>
      </x:c>
      <x:c r="Z33" s="39" t="n">
        <x:v>70645000</x:v>
      </x:c>
      <x:c r="AA33" s="33" t="n">
        <x:f>COUNTIF('품목 정답'!$A$5:$A$204,A33)</x:f>
        <x:v>4</x:v>
      </x:c>
      <x:c r="AB33" s="33" t="str">
        <x:v>에버웰솔루션 발주서. 공급자 감성과학, 납품장소 광주광역시 북구 첨단과기로 39길 11 (대촌동, 미르빌딩 128 호), 총액 70,645,000원, 품목 4행.</x:v>
      </x:c>
      <x:c r="AC33" s="33" t="str">
        <x:v>발주서, 감성과학, 에버웰솔루션, 구매팀 황민지, 레이저장비, LR2000, LP1000, LP2000, LP1500</x:v>
      </x:c>
      <x:c r="AD33" s="33" t="str">
        <x:v>p.1: 공급자·발주자 기본정보·발주조건·발주내용·합계금액</x:v>
      </x:c>
      <x:c r="AE33" s="39" t="n">
        <x:f>SUMIF('품목 정답'!$A$5:$A$204,A33,'품목 정답'!$I$5:$I$204)</x:f>
        <x:v>70645000</x:v>
      </x:c>
      <x:c r="AF33" s="33" t="str">
        <x:f>IF(AE33=Z33,"일치","불일치")</x:f>
        <x:v>일치</x:v>
      </x:c>
      <x:c r="AG33" s="34" t="str">
        <x:v>[검증]</x:v>
      </x:c>
    </x:row>
    <x:row r="34" ht="48" customHeight="1">
      <x:c r="A34" s="32" t="str">
        <x:v>PO-029</x:v>
      </x:c>
      <x:c r="B34" s="33" t="str">
        <x:v>발주서_29.pdf</x:v>
      </x:c>
      <x:c r="C34" s="33" t="str">
        <x:v>PDF</x:v>
      </x:c>
      <x:c r="D34" s="33" t="n">
        <x:v>1</x:v>
      </x:c>
      <x:c r="E34" s="33" t="str">
        <x:v>발주서</x:v>
      </x:c>
      <x:c r="F34" s="33" t="str">
        <x:v>발주서</x:v>
      </x:c>
      <x:c r="G34" s="33" t="str">
        <x:v>감성과학</x:v>
      </x:c>
      <x:c r="H34" s="33" t="str">
        <x:v>288 - 46 0 00419</x:v>
      </x:c>
      <x:c r="I34" s="33" t="str">
        <x:v>서울특별시 종로구 삼일대로32길 36, 지하1층 101호. (익선동, 운현신화타워)</x:v>
      </x:c>
      <x:c r="J34" s="33" t="str">
        <x:v>02 - 801 - 1234</x:v>
      </x:c>
      <x:c r="K34" s="33" t="str">
        <x:v>02 - 801 - 1233</x:v>
      </x:c>
      <x:c r="L34" s="33" t="str">
        <x:v>영업1팀 홍길동</x:v>
      </x:c>
      <x:c r="M34" s="33" t="str">
        <x:v>코스모센서</x:v>
      </x:c>
      <x:c r="N34" s="33" t="str">
        <x:v>129 - 52 - 13837</x:v>
      </x:c>
      <x:c r="O34" s="33" t="str">
        <x:v>충청북도 청주시 흥덕구 오송생명로 40길 14 (오송읍, 미르빌 딩 129호)</x:v>
      </x:c>
      <x:c r="P34" s="33" t="str">
        <x:v>055 - 5936 - 5944</x:v>
      </x:c>
      <x:c r="Q34" s="33" t="str">
        <x:v>055 - 5936 - 6944</x:v>
      </x:c>
      <x:c r="R34" s="33" t="str">
        <x:v>구매팀 고은찬</x:v>
      </x:c>
      <x:c r="S34" s="42"/>
      <x:c r="T34" s="42"/>
      <x:c r="U34" s="33" t="str">
        <x:v>충청북도 청주시 흥덕구 오송생명로 40길 14 (오송읍, 미르빌 딩 129호)</x:v>
      </x:c>
      <x:c r="V34" s="33" t="str">
        <x:v>계산서발행일로부터 익월이내</x:v>
      </x:c>
      <x:c r="W34" s="42"/>
      <x:c r="X34" s="42"/>
      <x:c r="Y34" s="33" t="str">
        <x:v>KRW</x:v>
      </x:c>
      <x:c r="Z34" s="39" t="n">
        <x:v>82490000</x:v>
      </x:c>
      <x:c r="AA34" s="33" t="n">
        <x:f>COUNTIF('품목 정답'!$A$5:$A$204,A34)</x:f>
        <x:v>4</x:v>
      </x:c>
      <x:c r="AB34" s="33" t="str">
        <x:v>코스모센서 발주서. 공급자 감성과학, 납품장소 충청북도 청주시 흥덕구 오송생명로 40길 14 (오송읍, 미르빌 딩 129호), 총액 82,490,000원, 품목 4행.</x:v>
      </x:c>
      <x:c r="AC34" s="33" t="str">
        <x:v>발주서, 감성과학, 코스모센서, 구매팀 고은찬, 레이저장비, LR-PRO, LR-CORE3, LP200, LP1500</x:v>
      </x:c>
      <x:c r="AD34" s="33" t="str">
        <x:v>p.1: 공급자·발주자 기본정보·발주조건·발주내용·합계금액</x:v>
      </x:c>
      <x:c r="AE34" s="39" t="n">
        <x:f>SUMIF('품목 정답'!$A$5:$A$204,A34,'품목 정답'!$I$5:$I$204)</x:f>
        <x:v>82490000</x:v>
      </x:c>
      <x:c r="AF34" s="33" t="str">
        <x:f>IF(AE34=Z34,"일치","불일치")</x:f>
        <x:v>일치</x:v>
      </x:c>
      <x:c r="AG34" s="34" t="str">
        <x:v>[검증]</x:v>
      </x:c>
    </x:row>
    <x:row r="35" ht="48" customHeight="1">
      <x:c r="A35" s="32" t="str">
        <x:v>PO-030</x:v>
      </x:c>
      <x:c r="B35" s="33" t="str">
        <x:v>발주서_30.pdf</x:v>
      </x:c>
      <x:c r="C35" s="33" t="str">
        <x:v>PDF</x:v>
      </x:c>
      <x:c r="D35" s="33" t="n">
        <x:v>1</x:v>
      </x:c>
      <x:c r="E35" s="33" t="str">
        <x:v>발주서</x:v>
      </x:c>
      <x:c r="F35" s="33" t="str">
        <x:v>발주서</x:v>
      </x:c>
      <x:c r="G35" s="33" t="str">
        <x:v>감성과학</x:v>
      </x:c>
      <x:c r="H35" s="33" t="str">
        <x:v>288 - 46 0 00419</x:v>
      </x:c>
      <x:c r="I35" s="33" t="str">
        <x:v>서울특별시 종로구 삼일대로32길 36, 지하1층 101호. (익선동, 운현신화타워)</x:v>
      </x:c>
      <x:c r="J35" s="33" t="str">
        <x:v>02 - 801 - 1234</x:v>
      </x:c>
      <x:c r="K35" s="33" t="str">
        <x:v>02 - 801 - 1233</x:v>
      </x:c>
      <x:c r="L35" s="33" t="str">
        <x:v>영업1팀 홍길동</x:v>
      </x:c>
      <x:c r="M35" s="33" t="str">
        <x:v>라이트메디랩</x:v>
      </x:c>
      <x:c r="N35" s="33" t="str">
        <x:v>130 - 59 - 13974</x:v>
      </x:c>
      <x:c r="O35" s="33" t="str">
        <x:v>경상남도 창원시 성산구 창원대로 41길 17 (상남동, 미르빌딩 130호)</x:v>
      </x:c>
      <x:c r="P35" s="33" t="str">
        <x:v>062 - 6073 - 6117</x:v>
      </x:c>
      <x:c r="Q35" s="33" t="str">
        <x:v>062 - 6073 - 7117</x:v>
      </x:c>
      <x:c r="R35" s="33" t="str">
        <x:v>구매팀 김하린</x:v>
      </x:c>
      <x:c r="S35" s="42"/>
      <x:c r="T35" s="42"/>
      <x:c r="U35" s="33" t="str">
        <x:v>경상남도 창원시 성산구 창원대로 41길 17 (상남동, 미르빌딩 130호)</x:v>
      </x:c>
      <x:c r="V35" s="33" t="str">
        <x:v>계산서발행일로부터 익월이내</x:v>
      </x:c>
      <x:c r="W35" s="42"/>
      <x:c r="X35" s="42"/>
      <x:c r="Y35" s="33" t="str">
        <x:v>KRW</x:v>
      </x:c>
      <x:c r="Z35" s="39" t="n">
        <x:v>85080000</x:v>
      </x:c>
      <x:c r="AA35" s="33" t="n">
        <x:f>COUNTIF('품목 정답'!$A$5:$A$204,A35)</x:f>
        <x:v>4</x:v>
      </x:c>
      <x:c r="AB35" s="33" t="str">
        <x:v>라이트메디랩 발주서. 공급자 감성과학, 납품장소 경상남도 창원시 성산구 창원대로 41길 17 (상남동, 미르빌딩 130호), 총액 85,080,000원, 품목 4행.</x:v>
      </x:c>
      <x:c r="AC35" s="33" t="str">
        <x:v>발주서, 감성과학, 라이트메디랩, 구매팀 김하린, 레이저장비, LR1000, LR-CORE1, LR-PRO, LP100</x:v>
      </x:c>
      <x:c r="AD35" s="33" t="str">
        <x:v>p.1: 공급자·발주자 기본정보·발주조건·발주내용·합계금액</x:v>
      </x:c>
      <x:c r="AE35" s="39" t="n">
        <x:f>SUMIF('품목 정답'!$A$5:$A$204,A35,'품목 정답'!$I$5:$I$204)</x:f>
        <x:v>85080000</x:v>
      </x:c>
      <x:c r="AF35" s="33" t="str">
        <x:f>IF(AE35=Z35,"일치","불일치")</x:f>
        <x:v>일치</x:v>
      </x:c>
      <x:c r="AG35" s="34" t="str">
        <x:v>[검증]</x:v>
      </x:c>
    </x:row>
    <x:row r="36" ht="48" customHeight="1">
      <x:c r="A36" s="32" t="str">
        <x:v>PO-031</x:v>
      </x:c>
      <x:c r="B36" s="33" t="str">
        <x:v>발주서_31.pdf</x:v>
      </x:c>
      <x:c r="C36" s="33" t="str">
        <x:v>PDF</x:v>
      </x:c>
      <x:c r="D36" s="33" t="n">
        <x:v>1</x:v>
      </x:c>
      <x:c r="E36" s="33" t="str">
        <x:v>발주서</x:v>
      </x:c>
      <x:c r="F36" s="33" t="str">
        <x:v>발주서</x:v>
      </x:c>
      <x:c r="G36" s="33" t="str">
        <x:v>감성과학</x:v>
      </x:c>
      <x:c r="H36" s="33" t="str">
        <x:v>288 - 46 0 00419</x:v>
      </x:c>
      <x:c r="I36" s="33" t="str">
        <x:v>서울특별시 종로구 삼일대로32길 36, 지하1층 101호. (익선동, 운현신화타워)</x:v>
      </x:c>
      <x:c r="J36" s="33" t="str">
        <x:v>02 - 801 - 1234</x:v>
      </x:c>
      <x:c r="K36" s="33" t="str">
        <x:v>02 - 801 - 1233</x:v>
      </x:c>
      <x:c r="L36" s="33" t="str">
        <x:v>영업1팀 홍길동</x:v>
      </x:c>
      <x:c r="M36" s="33" t="str">
        <x:v>노바링크헬스</x:v>
      </x:c>
      <x:c r="N36" s="33" t="str">
        <x:v>131 - 66 - 14111</x:v>
      </x:c>
      <x:c r="O36" s="33" t="str">
        <x:v>서울특별시 금천구 가산디지털1로 42길 2 (가산동, 미르빌딩 131호)</x:v>
      </x:c>
      <x:c r="P36" s="33" t="str">
        <x:v>02 - 6210 - 6290</x:v>
      </x:c>
      <x:c r="Q36" s="33" t="str">
        <x:v>02 - 6210 - 7290</x:v>
      </x:c>
      <x:c r="R36" s="33" t="str">
        <x:v>구매팀 이도겸</x:v>
      </x:c>
      <x:c r="S36" s="42"/>
      <x:c r="T36" s="42"/>
      <x:c r="U36" s="33" t="str">
        <x:v>서울특별시 금천구 가산디지털1로 42길 2 (가산동, 미르빌딩 131호)</x:v>
      </x:c>
      <x:c r="V36" s="33" t="str">
        <x:v>계산서발행일로부터 익월이내</x:v>
      </x:c>
      <x:c r="W36" s="42"/>
      <x:c r="X36" s="42"/>
      <x:c r="Y36" s="33" t="str">
        <x:v>KRW</x:v>
      </x:c>
      <x:c r="Z36" s="39" t="n">
        <x:v>44420000</x:v>
      </x:c>
      <x:c r="AA36" s="33" t="n">
        <x:f>COUNTIF('품목 정답'!$A$5:$A$204,A36)</x:f>
        <x:v>4</x:v>
      </x:c>
      <x:c r="AB36" s="33" t="str">
        <x:v>노바링크헬스 발주서. 공급자 감성과학, 납품장소 서울특별시 금천구 가산디지털1로 42길 2 (가산동, 미르빌딩 131호), 총액 44,420,000원, 품목 4행.</x:v>
      </x:c>
      <x:c r="AC36" s="33" t="str">
        <x:v>발주서, 감성과학, 노바링크헬스, 구매팀 이도겸, 레이저장비, LR2000, LP2000, LP1500, LR-CORE3</x:v>
      </x:c>
      <x:c r="AD36" s="33" t="str">
        <x:v>p.1: 공급자·발주자 기본정보·발주조건·발주내용·합계금액</x:v>
      </x:c>
      <x:c r="AE36" s="39" t="n">
        <x:f>SUMIF('품목 정답'!$A$5:$A$204,A36,'품목 정답'!$I$5:$I$204)</x:f>
        <x:v>44420000</x:v>
      </x:c>
      <x:c r="AF36" s="33" t="str">
        <x:f>IF(AE36=Z36,"일치","불일치")</x:f>
        <x:v>일치</x:v>
      </x:c>
      <x:c r="AG36" s="34" t="str">
        <x:v>[검증]</x:v>
      </x:c>
    </x:row>
    <x:row r="37" ht="48" customHeight="1">
      <x:c r="A37" s="32" t="str">
        <x:v>PO-032</x:v>
      </x:c>
      <x:c r="B37" s="33" t="str">
        <x:v>발주서_32.pdf</x:v>
      </x:c>
      <x:c r="C37" s="33" t="str">
        <x:v>PDF</x:v>
      </x:c>
      <x:c r="D37" s="33" t="n">
        <x:v>1</x:v>
      </x:c>
      <x:c r="E37" s="33" t="str">
        <x:v>발주서</x:v>
      </x:c>
      <x:c r="F37" s="33" t="str">
        <x:v>발주서</x:v>
      </x:c>
      <x:c r="G37" s="33" t="str">
        <x:v>감성과학</x:v>
      </x:c>
      <x:c r="H37" s="33" t="str">
        <x:v>288 - 46 0 00419</x:v>
      </x:c>
      <x:c r="I37" s="33" t="str">
        <x:v>서울특별시 종로구 삼일대로32길 36, 지하1층 101호. (익선동, 운현신화타워)</x:v>
      </x:c>
      <x:c r="J37" s="33" t="str">
        <x:v>02 - 801 - 1234</x:v>
      </x:c>
      <x:c r="K37" s="33" t="str">
        <x:v>02 - 801 - 1233</x:v>
      </x:c>
      <x:c r="L37" s="33" t="str">
        <x:v>영업1팀 홍길동</x:v>
      </x:c>
      <x:c r="M37" s="33" t="str">
        <x:v>세이프온바이오</x:v>
      </x:c>
      <x:c r="N37" s="33" t="str">
        <x:v>132 - 73 - 14248</x:v>
      </x:c>
      <x:c r="O37" s="33" t="str">
        <x:v>경기도 성남시 분당구 판교역로 43길 5 (삼평동, 미르빌딩 13 2호)</x:v>
      </x:c>
      <x:c r="P37" s="33" t="str">
        <x:v>031 - 6347 - 6463</x:v>
      </x:c>
      <x:c r="Q37" s="33" t="str">
        <x:v>031 - 6347 - 7463</x:v>
      </x:c>
      <x:c r="R37" s="33" t="str">
        <x:v>구매팀 박수아</x:v>
      </x:c>
      <x:c r="S37" s="42"/>
      <x:c r="T37" s="42"/>
      <x:c r="U37" s="33" t="str">
        <x:v>경기도 성남시 분당구 판교역로 43길 5 (삼평동, 미르빌딩 13 2호)</x:v>
      </x:c>
      <x:c r="V37" s="33" t="str">
        <x:v>계산서발행일로부터 익월이내</x:v>
      </x:c>
      <x:c r="W37" s="42"/>
      <x:c r="X37" s="42"/>
      <x:c r="Y37" s="33" t="str">
        <x:v>KRW</x:v>
      </x:c>
      <x:c r="Z37" s="39" t="n">
        <x:v>35945000</x:v>
      </x:c>
      <x:c r="AA37" s="33" t="n">
        <x:f>COUNTIF('품목 정답'!$A$5:$A$204,A37)</x:f>
        <x:v>4</x:v>
      </x:c>
      <x:c r="AB37" s="33" t="str">
        <x:v>세이프온바이오 발주서. 공급자 감성과학, 납품장소 경기도 성남시 분당구 판교역로 43길 5 (삼평동, 미르빌딩 13 2호), 총액 35,945,000원, 품목 4행.</x:v>
      </x:c>
      <x:c r="AC37" s="33" t="str">
        <x:v>발주서, 감성과학, 세이프온바이오, 구매팀 박수아, 레이저장비, LP1500, LP1000, LR2000, LR-PRO</x:v>
      </x:c>
      <x:c r="AD37" s="33" t="str">
        <x:v>p.1: 공급자·발주자 기본정보·발주조건·발주내용·합계금액</x:v>
      </x:c>
      <x:c r="AE37" s="39" t="n">
        <x:f>SUMIF('품목 정답'!$A$5:$A$204,A37,'품목 정답'!$I$5:$I$204)</x:f>
        <x:v>35945000</x:v>
      </x:c>
      <x:c r="AF37" s="33" t="str">
        <x:f>IF(AE37=Z37,"일치","불일치")</x:f>
        <x:v>일치</x:v>
      </x:c>
      <x:c r="AG37" s="34" t="str">
        <x:v>[검증]</x:v>
      </x:c>
    </x:row>
    <x:row r="38" ht="48" customHeight="1">
      <x:c r="A38" s="32" t="str">
        <x:v>PO-033</x:v>
      </x:c>
      <x:c r="B38" s="33" t="str">
        <x:v>발주서_33.pdf</x:v>
      </x:c>
      <x:c r="C38" s="33" t="str">
        <x:v>PDF</x:v>
      </x:c>
      <x:c r="D38" s="33" t="n">
        <x:v>1</x:v>
      </x:c>
      <x:c r="E38" s="33" t="str">
        <x:v>발주서</x:v>
      </x:c>
      <x:c r="F38" s="33" t="str">
        <x:v>발주서</x:v>
      </x:c>
      <x:c r="G38" s="33" t="str">
        <x:v>감성과학</x:v>
      </x:c>
      <x:c r="H38" s="33" t="str">
        <x:v>288 - 46 0 00419</x:v>
      </x:c>
      <x:c r="I38" s="33" t="str">
        <x:v>서울특별시 종로구 삼일대로32길 36, 지하1층 101호. (익선동, 운현신화타워)</x:v>
      </x:c>
      <x:c r="J38" s="33" t="str">
        <x:v>02 - 801 - 1234</x:v>
      </x:c>
      <x:c r="K38" s="33" t="str">
        <x:v>02 - 801 - 1233</x:v>
      </x:c>
      <x:c r="L38" s="33" t="str">
        <x:v>영업1팀 홍길동</x:v>
      </x:c>
      <x:c r="M38" s="33" t="str">
        <x:v>엠큐브메디칼</x:v>
      </x:c>
      <x:c r="N38" s="33" t="str">
        <x:v>133 - 80 - 14385</x:v>
      </x:c>
      <x:c r="O38" s="33" t="str">
        <x:v>경기도 수원시 영통구 광교중앙로 44길 8 (이의동, 미르빌딩 1 33호)</x:v>
      </x:c>
      <x:c r="P38" s="33" t="str">
        <x:v>032 - 6484 - 6636</x:v>
      </x:c>
      <x:c r="Q38" s="33" t="str">
        <x:v>032 - 6484 - 7636</x:v>
      </x:c>
      <x:c r="R38" s="33" t="str">
        <x:v>구매팀 최정훈</x:v>
      </x:c>
      <x:c r="S38" s="42"/>
      <x:c r="T38" s="42"/>
      <x:c r="U38" s="33" t="str">
        <x:v>경기도 수원시 영통구 광교중앙로 44길 8 (이의동, 미르빌딩 1 33호)</x:v>
      </x:c>
      <x:c r="V38" s="33" t="str">
        <x:v>계산서발행일로부터 익월이내</x:v>
      </x:c>
      <x:c r="W38" s="42"/>
      <x:c r="X38" s="42"/>
      <x:c r="Y38" s="33" t="str">
        <x:v>KRW</x:v>
      </x:c>
      <x:c r="Z38" s="39" t="n">
        <x:v>65760000</x:v>
      </x:c>
      <x:c r="AA38" s="33" t="n">
        <x:f>COUNTIF('품목 정답'!$A$5:$A$204,A38)</x:f>
        <x:v>4</x:v>
      </x:c>
      <x:c r="AB38" s="33" t="str">
        <x:v>엠큐브메디칼 발주서. 공급자 감성과학, 납품장소 경기도 수원시 영통구 광교중앙로 44길 8 (이의동, 미르빌딩 1 33호), 총액 65,760,000원, 품목 4행.</x:v>
      </x:c>
      <x:c r="AC38" s="33" t="str">
        <x:v>발주서, 감성과학, 엠큐브메디칼, 구매팀 최정훈, 레이저장비, LR2000, LR-CORE3, LR1000, LP100</x:v>
      </x:c>
      <x:c r="AD38" s="33" t="str">
        <x:v>p.1: 공급자·발주자 기본정보·발주조건·발주내용·합계금액</x:v>
      </x:c>
      <x:c r="AE38" s="39" t="n">
        <x:f>SUMIF('품목 정답'!$A$5:$A$204,A38,'품목 정답'!$I$5:$I$204)</x:f>
        <x:v>65760000</x:v>
      </x:c>
      <x:c r="AF38" s="33" t="str">
        <x:f>IF(AE38=Z38,"일치","불일치")</x:f>
        <x:v>일치</x:v>
      </x:c>
      <x:c r="AG38" s="34" t="str">
        <x:v>[검증]</x:v>
      </x:c>
    </x:row>
    <x:row r="39" ht="48" customHeight="1">
      <x:c r="A39" s="32" t="str">
        <x:v>PO-034</x:v>
      </x:c>
      <x:c r="B39" s="33" t="str">
        <x:v>발주서_34.pdf</x:v>
      </x:c>
      <x:c r="C39" s="33" t="str">
        <x:v>PDF</x:v>
      </x:c>
      <x:c r="D39" s="33" t="n">
        <x:v>1</x:v>
      </x:c>
      <x:c r="E39" s="33" t="str">
        <x:v>발주서</x:v>
      </x:c>
      <x:c r="F39" s="33" t="str">
        <x:v>발주서</x:v>
      </x:c>
      <x:c r="G39" s="33" t="str">
        <x:v>감성과학</x:v>
      </x:c>
      <x:c r="H39" s="33" t="str">
        <x:v>288 - 46 0 00419</x:v>
      </x:c>
      <x:c r="I39" s="33" t="str">
        <x:v>서울특별시 종로구 삼일대로32길 36, 지하1층 101호. (익선동, 운현신화타워)</x:v>
      </x:c>
      <x:c r="J39" s="33" t="str">
        <x:v>02 - 801 - 1234</x:v>
      </x:c>
      <x:c r="K39" s="33" t="str">
        <x:v>02 - 801 - 1233</x:v>
      </x:c>
      <x:c r="L39" s="33" t="str">
        <x:v>영업1팀 홍길동</x:v>
      </x:c>
      <x:c r="M39" s="33" t="str">
        <x:v>시그널웍스</x:v>
      </x:c>
      <x:c r="N39" s="33" t="str">
        <x:v>134 - 87 - 14522</x:v>
      </x:c>
      <x:c r="O39" s="33" t="str">
        <x:v>인천광역시 연수구 송도과학로 45길 11 (송도동, 미르빌딩 13 4호)</x:v>
      </x:c>
      <x:c r="P39" s="33" t="str">
        <x:v>042 - 6621 - 6809</x:v>
      </x:c>
      <x:c r="Q39" s="33" t="str">
        <x:v>042 - 6621 - 7809</x:v>
      </x:c>
      <x:c r="R39" s="33" t="str">
        <x:v>구매팀 정유림</x:v>
      </x:c>
      <x:c r="S39" s="42"/>
      <x:c r="T39" s="42"/>
      <x:c r="U39" s="33" t="str">
        <x:v>인천광역시 연수구 송도과학로 45길 11 (송도동, 미르빌딩 13 4호)</x:v>
      </x:c>
      <x:c r="V39" s="33" t="str">
        <x:v>계산서발행일로부터 익월이내</x:v>
      </x:c>
      <x:c r="W39" s="42"/>
      <x:c r="X39" s="42"/>
      <x:c r="Y39" s="33" t="str">
        <x:v>KRW</x:v>
      </x:c>
      <x:c r="Z39" s="39" t="n">
        <x:v>76925000</x:v>
      </x:c>
      <x:c r="AA39" s="33" t="n">
        <x:f>COUNTIF('품목 정답'!$A$5:$A$204,A39)</x:f>
        <x:v>4</x:v>
      </x:c>
      <x:c r="AB39" s="33" t="str">
        <x:v>시그널웍스 발주서. 공급자 감성과학, 납품장소 인천광역시 연수구 송도과학로 45길 11 (송도동, 미르빌딩 13 4호), 총액 76,925,000원, 품목 4행.</x:v>
      </x:c>
      <x:c r="AC39" s="33" t="str">
        <x:v>발주서, 감성과학, 시그널웍스, 구매팀 정유림, 레이저장비, LP1000, LR2000, LP2000, LR-CORE2</x:v>
      </x:c>
      <x:c r="AD39" s="33" t="str">
        <x:v>p.1: 공급자·발주자 기본정보·발주조건·발주내용·합계금액</x:v>
      </x:c>
      <x:c r="AE39" s="39" t="n">
        <x:f>SUMIF('품목 정답'!$A$5:$A$204,A39,'품목 정답'!$I$5:$I$204)</x:f>
        <x:v>76925000</x:v>
      </x:c>
      <x:c r="AF39" s="33" t="str">
        <x:f>IF(AE39=Z39,"일치","불일치")</x:f>
        <x:v>일치</x:v>
      </x:c>
      <x:c r="AG39" s="34" t="str">
        <x:v>[검증]</x:v>
      </x:c>
    </x:row>
    <x:row r="40" ht="48" customHeight="1">
      <x:c r="A40" s="32" t="str">
        <x:v>PO-035</x:v>
      </x:c>
      <x:c r="B40" s="33" t="str">
        <x:v>발주서_35.pdf</x:v>
      </x:c>
      <x:c r="C40" s="33" t="str">
        <x:v>PDF</x:v>
      </x:c>
      <x:c r="D40" s="33" t="n">
        <x:v>1</x:v>
      </x:c>
      <x:c r="E40" s="33" t="str">
        <x:v>발주서</x:v>
      </x:c>
      <x:c r="F40" s="33" t="str">
        <x:v>발주서</x:v>
      </x:c>
      <x:c r="G40" s="33" t="str">
        <x:v>감성과학</x:v>
      </x:c>
      <x:c r="H40" s="33" t="str">
        <x:v>288 - 46 0 00419</x:v>
      </x:c>
      <x:c r="I40" s="33" t="str">
        <x:v>서울특별시 종로구 삼일대로32길 36, 지하1층 101호. (익선동, 운현신화타워)</x:v>
      </x:c>
      <x:c r="J40" s="33" t="str">
        <x:v>02 - 801 - 1234</x:v>
      </x:c>
      <x:c r="K40" s="33" t="str">
        <x:v>02 - 801 - 1233</x:v>
      </x:c>
      <x:c r="L40" s="33" t="str">
        <x:v>영업1팀 홍길동</x:v>
      </x:c>
      <x:c r="M40" s="33" t="str">
        <x:v>휴먼스캔텍</x:v>
      </x:c>
      <x:c r="N40" s="33" t="str">
        <x:v>135 - 16 - 14659</x:v>
      </x:c>
      <x:c r="O40" s="33" t="str">
        <x:v>대전광역시 유성구 테크노중앙로 46길 14 (관평동, 미르빌딩 135호)</x:v>
      </x:c>
      <x:c r="P40" s="33" t="str">
        <x:v>051 - 6758 - 6982</x:v>
      </x:c>
      <x:c r="Q40" s="33" t="str">
        <x:v>051 - 6758 - 7982</x:v>
      </x:c>
      <x:c r="R40" s="33" t="str">
        <x:v>구매팀 강민재</x:v>
      </x:c>
      <x:c r="S40" s="42"/>
      <x:c r="T40" s="42"/>
      <x:c r="U40" s="33" t="str">
        <x:v>대전광역시 유성구 테크노중앙로 46길 14 (관평동, 미르빌딩 135호)</x:v>
      </x:c>
      <x:c r="V40" s="33" t="str">
        <x:v>계산서발행일로부터 익월이내</x:v>
      </x:c>
      <x:c r="W40" s="42"/>
      <x:c r="X40" s="42"/>
      <x:c r="Y40" s="33" t="str">
        <x:v>KRW</x:v>
      </x:c>
      <x:c r="Z40" s="39" t="n">
        <x:v>153000000</x:v>
      </x:c>
      <x:c r="AA40" s="33" t="n">
        <x:f>COUNTIF('품목 정답'!$A$5:$A$204,A40)</x:f>
        <x:v>4</x:v>
      </x:c>
      <x:c r="AB40" s="33" t="str">
        <x:v>휴먼스캔텍 발주서. 공급자 감성과학, 납품장소 대전광역시 유성구 테크노중앙로 46길 14 (관평동, 미르빌딩 135호), 총액 153,000,000원, 품목 4행.</x:v>
      </x:c>
      <x:c r="AC40" s="33" t="str">
        <x:v>발주서, 감성과학, 휴먼스캔텍, 구매팀 강민재, 레이저장비, LR2000, LP100, LR-PRO, LR-CORE3</x:v>
      </x:c>
      <x:c r="AD40" s="33" t="str">
        <x:v>p.1: 공급자·발주자 기본정보·발주조건·발주내용·합계금액</x:v>
      </x:c>
      <x:c r="AE40" s="39" t="n">
        <x:f>SUMIF('품목 정답'!$A$5:$A$204,A40,'품목 정답'!$I$5:$I$204)</x:f>
        <x:v>153000000</x:v>
      </x:c>
      <x:c r="AF40" s="33" t="str">
        <x:f>IF(AE40=Z40,"일치","불일치")</x:f>
        <x:v>일치</x:v>
      </x:c>
      <x:c r="AG40" s="34" t="str">
        <x:v>[검증]</x:v>
      </x:c>
    </x:row>
    <x:row r="41" ht="48" customHeight="1">
      <x:c r="A41" s="32" t="str">
        <x:v>PO-036</x:v>
      </x:c>
      <x:c r="B41" s="33" t="str">
        <x:v>발주서_36.pdf</x:v>
      </x:c>
      <x:c r="C41" s="33" t="str">
        <x:v>PDF</x:v>
      </x:c>
      <x:c r="D41" s="33" t="n">
        <x:v>1</x:v>
      </x:c>
      <x:c r="E41" s="33" t="str">
        <x:v>발주서</x:v>
      </x:c>
      <x:c r="F41" s="33" t="str">
        <x:v>발주서</x:v>
      </x:c>
      <x:c r="G41" s="33" t="str">
        <x:v>감성과학</x:v>
      </x:c>
      <x:c r="H41" s="33" t="str">
        <x:v>288 - 46 0 00419</x:v>
      </x:c>
      <x:c r="I41" s="33" t="str">
        <x:v>서울특별시 종로구 삼일대로32길 36, 지하1층 101호. (익선동, 운현신화타워)</x:v>
      </x:c>
      <x:c r="J41" s="33" t="str">
        <x:v>02 - 801 - 1234</x:v>
      </x:c>
      <x:c r="K41" s="33" t="str">
        <x:v>02 - 801 - 1233</x:v>
      </x:c>
      <x:c r="L41" s="33" t="str">
        <x:v>영업1팀 홍길동</x:v>
      </x:c>
      <x:c r="M41" s="33" t="str">
        <x:v>엑시온헬스</x:v>
      </x:c>
      <x:c r="N41" s="33" t="str">
        <x:v>136 - 23 - 14796</x:v>
      </x:c>
      <x:c r="O41" s="33" t="str">
        <x:v>부산광역시 해운대구 센텀중앙로 47길 17 (우동, 미르빌딩 13 6호)</x:v>
      </x:c>
      <x:c r="P41" s="33" t="str">
        <x:v>052 - 6895 - 7155</x:v>
      </x:c>
      <x:c r="Q41" s="33" t="str">
        <x:v>052 - 6895 - 8155</x:v>
      </x:c>
      <x:c r="R41" s="33" t="str">
        <x:v>구매팀 조하윤</x:v>
      </x:c>
      <x:c r="S41" s="42"/>
      <x:c r="T41" s="42"/>
      <x:c r="U41" s="33" t="str">
        <x:v>부산광역시 해운대구 센텀중앙로 47길 17 (우동, 미르빌딩 13 6호)</x:v>
      </x:c>
      <x:c r="V41" s="33" t="str">
        <x:v>계산서발행일로부터 익월이내</x:v>
      </x:c>
      <x:c r="W41" s="42"/>
      <x:c r="X41" s="42"/>
      <x:c r="Y41" s="33" t="str">
        <x:v>KRW</x:v>
      </x:c>
      <x:c r="Z41" s="39" t="n">
        <x:v>87000000</x:v>
      </x:c>
      <x:c r="AA41" s="33" t="n">
        <x:f>COUNTIF('품목 정답'!$A$5:$A$204,A41)</x:f>
        <x:v>4</x:v>
      </x:c>
      <x:c r="AB41" s="33" t="str">
        <x:v>엑시온헬스 발주서. 공급자 감성과학, 납품장소 부산광역시 해운대구 센텀중앙로 47길 17 (우동, 미르빌딩 13 6호), 총액 87,000,000원, 품목 4행.</x:v>
      </x:c>
      <x:c r="AC41" s="33" t="str">
        <x:v>발주서, 감성과학, 엑시온헬스, 구매팀 조하윤, 레이저장비, LR-CORE1, LR1000, LR-PRO, LR2000</x:v>
      </x:c>
      <x:c r="AD41" s="33" t="str">
        <x:v>p.1: 공급자·발주자 기본정보·발주조건·발주내용·합계금액</x:v>
      </x:c>
      <x:c r="AE41" s="39" t="n">
        <x:f>SUMIF('품목 정답'!$A$5:$A$204,A41,'품목 정답'!$I$5:$I$204)</x:f>
        <x:v>87000000</x:v>
      </x:c>
      <x:c r="AF41" s="33" t="str">
        <x:f>IF(AE41=Z41,"일치","불일치")</x:f>
        <x:v>일치</x:v>
      </x:c>
      <x:c r="AG41" s="34" t="str">
        <x:v>[검증]</x:v>
      </x:c>
    </x:row>
    <x:row r="42" ht="48" customHeight="1">
      <x:c r="A42" s="32" t="str">
        <x:v>PO-037</x:v>
      </x:c>
      <x:c r="B42" s="33" t="str">
        <x:v>발주서_37.pdf</x:v>
      </x:c>
      <x:c r="C42" s="33" t="str">
        <x:v>PDF</x:v>
      </x:c>
      <x:c r="D42" s="33" t="n">
        <x:v>1</x:v>
      </x:c>
      <x:c r="E42" s="33" t="str">
        <x:v>발주서</x:v>
      </x:c>
      <x:c r="F42" s="33" t="str">
        <x:v>발주서</x:v>
      </x:c>
      <x:c r="G42" s="33" t="str">
        <x:v>감성과학</x:v>
      </x:c>
      <x:c r="H42" s="33" t="str">
        <x:v>288 - 46 0 00419</x:v>
      </x:c>
      <x:c r="I42" s="33" t="str">
        <x:v>서울특별시 종로구 삼일대로32길 36, 지하1층 101호. (익선동, 운현신화타워)</x:v>
      </x:c>
      <x:c r="J42" s="33" t="str">
        <x:v>02 - 801 - 1234</x:v>
      </x:c>
      <x:c r="K42" s="33" t="str">
        <x:v>02 - 801 - 1233</x:v>
      </x:c>
      <x:c r="L42" s="33" t="str">
        <x:v>영업1팀 홍길동</x:v>
      </x:c>
      <x:c r="M42" s="33" t="str">
        <x:v>플래닛메디</x:v>
      </x:c>
      <x:c r="N42" s="33" t="str">
        <x:v>137 - 30 - 14933</x:v>
      </x:c>
      <x:c r="O42" s="33" t="str">
        <x:v>대구광역시 동구 동대구로 48길 2 (신서동, 미르빌딩 137호)</x:v>
      </x:c>
      <x:c r="P42" s="33" t="str">
        <x:v>053 - 7032 - 7328</x:v>
      </x:c>
      <x:c r="Q42" s="33" t="str">
        <x:v>053 - 7032 - 8328</x:v>
      </x:c>
      <x:c r="R42" s="33" t="str">
        <x:v>구매팀 윤태경</x:v>
      </x:c>
      <x:c r="S42" s="42"/>
      <x:c r="T42" s="42"/>
      <x:c r="U42" s="33" t="str">
        <x:v>대구광역시 동구 동대구로 48길 2 (신서동, 미르빌딩 137호)</x:v>
      </x:c>
      <x:c r="V42" s="33" t="str">
        <x:v>계산서발행일로부터 익월이내</x:v>
      </x:c>
      <x:c r="W42" s="42"/>
      <x:c r="X42" s="42"/>
      <x:c r="Y42" s="33" t="str">
        <x:v>KRW</x:v>
      </x:c>
      <x:c r="Z42" s="39" t="n">
        <x:v>93940000</x:v>
      </x:c>
      <x:c r="AA42" s="33" t="n">
        <x:f>COUNTIF('품목 정답'!$A$5:$A$204,A42)</x:f>
        <x:v>4</x:v>
      </x:c>
      <x:c r="AB42" s="33" t="str">
        <x:v>플래닛메디 발주서. 공급자 감성과학, 납품장소 대구광역시 동구 동대구로 48길 2 (신서동, 미르빌딩 137호), 총액 93,940,000원, 품목 4행.</x:v>
      </x:c>
      <x:c r="AC42" s="33" t="str">
        <x:v>발주서, 감성과학, 플래닛메디, 구매팀 윤태경, 레이저장비, LP1000, LP100, LR2000, LR-CORE2</x:v>
      </x:c>
      <x:c r="AD42" s="33" t="str">
        <x:v>p.1: 공급자·발주자 기본정보·발주조건·발주내용·합계금액</x:v>
      </x:c>
      <x:c r="AE42" s="39" t="n">
        <x:f>SUMIF('품목 정답'!$A$5:$A$204,A42,'품목 정답'!$I$5:$I$204)</x:f>
        <x:v>93940000</x:v>
      </x:c>
      <x:c r="AF42" s="33" t="str">
        <x:f>IF(AE42=Z42,"일치","불일치")</x:f>
        <x:v>일치</x:v>
      </x:c>
      <x:c r="AG42" s="34" t="str">
        <x:v>[검증]</x:v>
      </x:c>
    </x:row>
    <x:row r="43" ht="48" customHeight="1">
      <x:c r="A43" s="32" t="str">
        <x:v>PO-038</x:v>
      </x:c>
      <x:c r="B43" s="33" t="str">
        <x:v>발주서_38.pdf</x:v>
      </x:c>
      <x:c r="C43" s="33" t="str">
        <x:v>PDF</x:v>
      </x:c>
      <x:c r="D43" s="33" t="n">
        <x:v>1</x:v>
      </x:c>
      <x:c r="E43" s="33" t="str">
        <x:v>발주서</x:v>
      </x:c>
      <x:c r="F43" s="33" t="str">
        <x:v>발주서</x:v>
      </x:c>
      <x:c r="G43" s="33" t="str">
        <x:v>감성과학</x:v>
      </x:c>
      <x:c r="H43" s="33" t="str">
        <x:v>288 - 46 0 00419</x:v>
      </x:c>
      <x:c r="I43" s="33" t="str">
        <x:v>서울특별시 종로구 삼일대로32길 36, 지하1층 101호. (익선동, 운현신화타워)</x:v>
      </x:c>
      <x:c r="J43" s="33" t="str">
        <x:v>02 - 801 - 1234</x:v>
      </x:c>
      <x:c r="K43" s="33" t="str">
        <x:v>02 - 801 - 1233</x:v>
      </x:c>
      <x:c r="L43" s="33" t="str">
        <x:v>영업1팀 홍길동</x:v>
      </x:c>
      <x:c r="M43" s="33" t="str">
        <x:v>바이오트랙솔루션</x:v>
      </x:c>
      <x:c r="N43" s="33" t="str">
        <x:v>138 - 37 - 15070</x:v>
      </x:c>
      <x:c r="O43" s="33" t="str">
        <x:v>광주광역시 북구 첨단과기로 49길 5 (대촌동, 미르빌딩 138호 )</x:v>
      </x:c>
      <x:c r="P43" s="33" t="str">
        <x:v>054 - 7169 - 7501</x:v>
      </x:c>
      <x:c r="Q43" s="33" t="str">
        <x:v>054 - 7169 - 8501</x:v>
      </x:c>
      <x:c r="R43" s="33" t="str">
        <x:v>구매팀 장서진</x:v>
      </x:c>
      <x:c r="S43" s="42"/>
      <x:c r="T43" s="42"/>
      <x:c r="U43" s="33" t="str">
        <x:v>광주광역시 북구 첨단과기로 49길 5 (대촌동, 미르빌딩 138호 )</x:v>
      </x:c>
      <x:c r="V43" s="33" t="str">
        <x:v>계산서발행일로부터 익월이내</x:v>
      </x:c>
      <x:c r="W43" s="42"/>
      <x:c r="X43" s="42"/>
      <x:c r="Y43" s="33" t="str">
        <x:v>KRW</x:v>
      </x:c>
      <x:c r="Z43" s="39" t="n">
        <x:v>122995000</x:v>
      </x:c>
      <x:c r="AA43" s="33" t="n">
        <x:f>COUNTIF('품목 정답'!$A$5:$A$204,A43)</x:f>
        <x:v>4</x:v>
      </x:c>
      <x:c r="AB43" s="33" t="str">
        <x:v>바이오트랙솔루션 발주서. 공급자 감성과학, 납품장소 광주광역시 북구 첨단과기로 49길 5 (대촌동, 미르빌딩 138호 ), 총액 122,995,000원, 품목 4행.</x:v>
      </x:c>
      <x:c r="AC43" s="33" t="str">
        <x:v>발주서, 감성과학, 바이오트랙솔루션, 구매팀 장서진, 레이저장비, LP2000, LP200, LR1000, LR2000</x:v>
      </x:c>
      <x:c r="AD43" s="33" t="str">
        <x:v>p.1: 공급자·발주자 기본정보·발주조건·발주내용·합계금액</x:v>
      </x:c>
      <x:c r="AE43" s="39" t="n">
        <x:f>SUMIF('품목 정답'!$A$5:$A$204,A43,'품목 정답'!$I$5:$I$204)</x:f>
        <x:v>122995000</x:v>
      </x:c>
      <x:c r="AF43" s="33" t="str">
        <x:f>IF(AE43=Z43,"일치","불일치")</x:f>
        <x:v>일치</x:v>
      </x:c>
      <x:c r="AG43" s="34" t="str">
        <x:v>[검증]</x:v>
      </x:c>
    </x:row>
    <x:row r="44" ht="48" customHeight="1">
      <x:c r="A44" s="32" t="str">
        <x:v>PO-039</x:v>
      </x:c>
      <x:c r="B44" s="33" t="str">
        <x:v>발주서_39.pdf</x:v>
      </x:c>
      <x:c r="C44" s="33" t="str">
        <x:v>PDF</x:v>
      </x:c>
      <x:c r="D44" s="33" t="n">
        <x:v>1</x:v>
      </x:c>
      <x:c r="E44" s="33" t="str">
        <x:v>발주서</x:v>
      </x:c>
      <x:c r="F44" s="33" t="str">
        <x:v>발주서</x:v>
      </x:c>
      <x:c r="G44" s="33" t="str">
        <x:v>감성과학</x:v>
      </x:c>
      <x:c r="H44" s="33" t="str">
        <x:v>288 - 46 0 00419</x:v>
      </x:c>
      <x:c r="I44" s="33" t="str">
        <x:v>서울특별시 종로구 삼일대로32길 36, 지하1층 101호. (익선동, 운현신화타워)</x:v>
      </x:c>
      <x:c r="J44" s="33" t="str">
        <x:v>02 - 801 - 1234</x:v>
      </x:c>
      <x:c r="K44" s="33" t="str">
        <x:v>02 - 801 - 1233</x:v>
      </x:c>
      <x:c r="L44" s="33" t="str">
        <x:v>영업1팀 홍길동</x:v>
      </x:c>
      <x:c r="M44" s="33" t="str">
        <x:v>온리진테크</x:v>
      </x:c>
      <x:c r="N44" s="33" t="str">
        <x:v>139 - 44 - 15207</x:v>
      </x:c>
      <x:c r="O44" s="33" t="str">
        <x:v>충청북도 청주시 흥덕구 오송생명로 50길 8 (오송읍, 미르빌딩 139호)</x:v>
      </x:c>
      <x:c r="P44" s="33" t="str">
        <x:v>055 - 7306 - 7674</x:v>
      </x:c>
      <x:c r="Q44" s="33" t="str">
        <x:v>055 - 7306 - 8674</x:v>
      </x:c>
      <x:c r="R44" s="33" t="str">
        <x:v>구매팀 임예준</x:v>
      </x:c>
      <x:c r="S44" s="42"/>
      <x:c r="T44" s="42"/>
      <x:c r="U44" s="33" t="str">
        <x:v>충청북도 청주시 흥덕구 오송생명로 50길 8 (오송읍, 미르빌딩 139호)</x:v>
      </x:c>
      <x:c r="V44" s="33" t="str">
        <x:v>계산서발행일로부터 익월이내</x:v>
      </x:c>
      <x:c r="W44" s="42"/>
      <x:c r="X44" s="42"/>
      <x:c r="Y44" s="33" t="str">
        <x:v>KRW</x:v>
      </x:c>
      <x:c r="Z44" s="39" t="n">
        <x:v>72360000</x:v>
      </x:c>
      <x:c r="AA44" s="33" t="n">
        <x:f>COUNTIF('품목 정답'!$A$5:$A$204,A44)</x:f>
        <x:v>4</x:v>
      </x:c>
      <x:c r="AB44" s="33" t="str">
        <x:v>온리진테크 발주서. 공급자 감성과학, 납품장소 충청북도 청주시 흥덕구 오송생명로 50길 8 (오송읍, 미르빌딩 139호), 총액 72,360,000원, 품목 4행.</x:v>
      </x:c>
      <x:c r="AC44" s="33" t="str">
        <x:v>발주서, 감성과학, 온리진테크, 구매팀 임예준, 레이저장비, LP100, LP200, LR-CORE1, LR1000</x:v>
      </x:c>
      <x:c r="AD44" s="33" t="str">
        <x:v>p.1: 공급자·발주자 기본정보·발주조건·발주내용·합계금액</x:v>
      </x:c>
      <x:c r="AE44" s="39" t="n">
        <x:f>SUMIF('품목 정답'!$A$5:$A$204,A44,'품목 정답'!$I$5:$I$204)</x:f>
        <x:v>72360000</x:v>
      </x:c>
      <x:c r="AF44" s="33" t="str">
        <x:f>IF(AE44=Z44,"일치","불일치")</x:f>
        <x:v>일치</x:v>
      </x:c>
      <x:c r="AG44" s="34" t="str">
        <x:v>[검증]</x:v>
      </x:c>
    </x:row>
    <x:row r="45" ht="48" customHeight="1">
      <x:c r="A45" s="32" t="str">
        <x:v>PO-040</x:v>
      </x:c>
      <x:c r="B45" s="33" t="str">
        <x:v>발주서_40.pdf</x:v>
      </x:c>
      <x:c r="C45" s="33" t="str">
        <x:v>PDF</x:v>
      </x:c>
      <x:c r="D45" s="33" t="n">
        <x:v>1</x:v>
      </x:c>
      <x:c r="E45" s="33" t="str">
        <x:v>발주서</x:v>
      </x:c>
      <x:c r="F45" s="33" t="str">
        <x:v>발주서</x:v>
      </x:c>
      <x:c r="G45" s="33" t="str">
        <x:v>감성과학</x:v>
      </x:c>
      <x:c r="H45" s="33" t="str">
        <x:v>288 - 46 0 00419</x:v>
      </x:c>
      <x:c r="I45" s="33" t="str">
        <x:v>서울특별시 종로구 삼일대로32길 36, 지하1층 101호. (익선동, 운현신화타워)</x:v>
      </x:c>
      <x:c r="J45" s="33" t="str">
        <x:v>02 - 801 - 1234</x:v>
      </x:c>
      <x:c r="K45" s="33" t="str">
        <x:v>02 - 801 - 1233</x:v>
      </x:c>
      <x:c r="L45" s="33" t="str">
        <x:v>영업1팀 홍길동</x:v>
      </x:c>
      <x:c r="M45" s="33" t="str">
        <x:v>리서치온메디</x:v>
      </x:c>
      <x:c r="N45" s="33" t="str">
        <x:v>140 - 51 - 15344</x:v>
      </x:c>
      <x:c r="O45" s="33" t="str">
        <x:v>경상남도 창원시 성산구 창원대로 51길 11 (상남동, 미르빌딩 140호)</x:v>
      </x:c>
      <x:c r="P45" s="33" t="str">
        <x:v>062 - 7443 - 7847</x:v>
      </x:c>
      <x:c r="Q45" s="33" t="str">
        <x:v>062 - 7443 - 8847</x:v>
      </x:c>
      <x:c r="R45" s="33" t="str">
        <x:v>구매팀 한수빈</x:v>
      </x:c>
      <x:c r="S45" s="42"/>
      <x:c r="T45" s="42"/>
      <x:c r="U45" s="33" t="str">
        <x:v>경상남도 창원시 성산구 창원대로 51길 11 (상남동, 미르빌딩 140호)</x:v>
      </x:c>
      <x:c r="V45" s="33" t="str">
        <x:v>계산서발행일로부터 익월이내</x:v>
      </x:c>
      <x:c r="W45" s="42"/>
      <x:c r="X45" s="42"/>
      <x:c r="Y45" s="33" t="str">
        <x:v>KRW</x:v>
      </x:c>
      <x:c r="Z45" s="39" t="n">
        <x:v>39185000</x:v>
      </x:c>
      <x:c r="AA45" s="33" t="n">
        <x:f>COUNTIF('품목 정답'!$A$5:$A$204,A45)</x:f>
        <x:v>4</x:v>
      </x:c>
      <x:c r="AB45" s="33" t="str">
        <x:v>리서치온메디 발주서. 공급자 감성과학, 납품장소 경상남도 창원시 성산구 창원대로 51길 11 (상남동, 미르빌딩 140호), 총액 39,185,000원, 품목 4행.</x:v>
      </x:c>
      <x:c r="AC45" s="33" t="str">
        <x:v>발주서, 감성과학, 리서치온메디, 구매팀 한수빈, 레이저장비, LP2000, LP1500, LR1000, LP1000</x:v>
      </x:c>
      <x:c r="AD45" s="33" t="str">
        <x:v>p.1: 공급자·발주자 기본정보·발주조건·발주내용·합계금액</x:v>
      </x:c>
      <x:c r="AE45" s="39" t="n">
        <x:f>SUMIF('품목 정답'!$A$5:$A$204,A45,'품목 정답'!$I$5:$I$204)</x:f>
        <x:v>39185000</x:v>
      </x:c>
      <x:c r="AF45" s="33" t="str">
        <x:f>IF(AE45=Z45,"일치","불일치")</x:f>
        <x:v>일치</x:v>
      </x:c>
      <x:c r="AG45" s="34" t="str">
        <x:v>[검증]</x:v>
      </x:c>
    </x:row>
    <x:row r="46" ht="48" customHeight="1">
      <x:c r="A46" s="32" t="str">
        <x:v>PO-041</x:v>
      </x:c>
      <x:c r="B46" s="33" t="str">
        <x:v>발주서_41.pdf</x:v>
      </x:c>
      <x:c r="C46" s="33" t="str">
        <x:v>PDF</x:v>
      </x:c>
      <x:c r="D46" s="33" t="n">
        <x:v>1</x:v>
      </x:c>
      <x:c r="E46" s="33" t="str">
        <x:v>발주서</x:v>
      </x:c>
      <x:c r="F46" s="33" t="str">
        <x:v>발주서</x:v>
      </x:c>
      <x:c r="G46" s="33" t="str">
        <x:v>감성과학</x:v>
      </x:c>
      <x:c r="H46" s="33" t="str">
        <x:v>288 - 46 0 00419</x:v>
      </x:c>
      <x:c r="I46" s="33" t="str">
        <x:v>서울특별시 종로구 삼일대로32길 36, 지하1층 101호. (익선동, 운현신화타워)</x:v>
      </x:c>
      <x:c r="J46" s="33" t="str">
        <x:v>02 - 801 - 1234</x:v>
      </x:c>
      <x:c r="K46" s="33" t="str">
        <x:v>02 - 801 - 1233</x:v>
      </x:c>
      <x:c r="L46" s="33" t="str">
        <x:v>영업1팀 홍길동</x:v>
      </x:c>
      <x:c r="M46" s="33" t="str">
        <x:v>아라메디랩</x:v>
      </x:c>
      <x:c r="N46" s="33" t="str">
        <x:v>141 - 58 - 15481</x:v>
      </x:c>
      <x:c r="O46" s="33" t="str">
        <x:v>서울특별시 금천구 가산디지털1로 52길 14 (가산동, 미르빌딩 141호)</x:v>
      </x:c>
      <x:c r="P46" s="33" t="str">
        <x:v>02 - 7580 - 8020</x:v>
      </x:c>
      <x:c r="Q46" s="33" t="str">
        <x:v>02 - 7580 - 9020</x:v>
      </x:c>
      <x:c r="R46" s="33" t="str">
        <x:v>구매팀 오지훈</x:v>
      </x:c>
      <x:c r="S46" s="42"/>
      <x:c r="T46" s="42"/>
      <x:c r="U46" s="33" t="str">
        <x:v>서울특별시 금천구 가산디지털1로 52길 14 (가산동, 미르빌딩 141호)</x:v>
      </x:c>
      <x:c r="V46" s="33" t="str">
        <x:v>계산서발행일로부터 익월이내</x:v>
      </x:c>
      <x:c r="W46" s="42"/>
      <x:c r="X46" s="42"/>
      <x:c r="Y46" s="33" t="str">
        <x:v>KRW</x:v>
      </x:c>
      <x:c r="Z46" s="39" t="n">
        <x:v>124640000</x:v>
      </x:c>
      <x:c r="AA46" s="33" t="n">
        <x:f>COUNTIF('품목 정답'!$A$5:$A$204,A46)</x:f>
        <x:v>4</x:v>
      </x:c>
      <x:c r="AB46" s="33" t="str">
        <x:v>아라메디랩 발주서. 공급자 감성과학, 납품장소 서울특별시 금천구 가산디지털1로 52길 14 (가산동, 미르빌딩 141호), 총액 124,640,000원, 품목 4행.</x:v>
      </x:c>
      <x:c r="AC46" s="33" t="str">
        <x:v>발주서, 감성과학, 아라메디랩, 구매팀 오지훈, 레이저장비, LR2000, LR-CORE2, LR-CORE1, LP1000</x:v>
      </x:c>
      <x:c r="AD46" s="33" t="str">
        <x:v>p.1: 공급자·발주자 기본정보·발주조건·발주내용·합계금액</x:v>
      </x:c>
      <x:c r="AE46" s="39" t="n">
        <x:f>SUMIF('품목 정답'!$A$5:$A$204,A46,'품목 정답'!$I$5:$I$204)</x:f>
        <x:v>124640000</x:v>
      </x:c>
      <x:c r="AF46" s="33" t="str">
        <x:f>IF(AE46=Z46,"일치","불일치")</x:f>
        <x:v>일치</x:v>
      </x:c>
      <x:c r="AG46" s="34" t="str">
        <x:v>[검증]</x:v>
      </x:c>
    </x:row>
    <x:row r="47" ht="48" customHeight="1">
      <x:c r="A47" s="32" t="str">
        <x:v>PO-042</x:v>
      </x:c>
      <x:c r="B47" s="33" t="str">
        <x:v>발주서_42.pdf</x:v>
      </x:c>
      <x:c r="C47" s="33" t="str">
        <x:v>PDF</x:v>
      </x:c>
      <x:c r="D47" s="33" t="n">
        <x:v>1</x:v>
      </x:c>
      <x:c r="E47" s="33" t="str">
        <x:v>발주서</x:v>
      </x:c>
      <x:c r="F47" s="33" t="str">
        <x:v>발주서</x:v>
      </x:c>
      <x:c r="G47" s="33" t="str">
        <x:v>감성과학</x:v>
      </x:c>
      <x:c r="H47" s="33" t="str">
        <x:v>288 - 46 0 00419</x:v>
      </x:c>
      <x:c r="I47" s="33" t="str">
        <x:v>서울특별시 종로구 삼일대로32길 36, 지하1층 101호. (익선동, 운현신화타워)</x:v>
      </x:c>
      <x:c r="J47" s="33" t="str">
        <x:v>02 - 801 - 1234</x:v>
      </x:c>
      <x:c r="K47" s="33" t="str">
        <x:v>02 - 801 - 1233</x:v>
      </x:c>
      <x:c r="L47" s="33" t="str">
        <x:v>영업1팀 홍길동</x:v>
      </x:c>
      <x:c r="M47" s="33" t="str">
        <x:v>웰포인트바이오</x:v>
      </x:c>
      <x:c r="N47" s="33" t="str">
        <x:v>142 - 65 - 15618</x:v>
      </x:c>
      <x:c r="O47" s="33" t="str">
        <x:v>경기도 성남시 분당구 판교역로 53길 17 (삼평동, 미르빌딩 1 42호)</x:v>
      </x:c>
      <x:c r="P47" s="33" t="str">
        <x:v>031 - 7717 - 8193</x:v>
      </x:c>
      <x:c r="Q47" s="33" t="str">
        <x:v>031 - 7717 - 1193</x:v>
      </x:c>
      <x:c r="R47" s="33" t="str">
        <x:v>구매팀 신채린</x:v>
      </x:c>
      <x:c r="S47" s="42"/>
      <x:c r="T47" s="42"/>
      <x:c r="U47" s="33" t="str">
        <x:v>경기도 성남시 분당구 판교역로 53길 17 (삼평동, 미르빌딩 1 42호)</x:v>
      </x:c>
      <x:c r="V47" s="33" t="str">
        <x:v>계산서발행일로부터 익월이내</x:v>
      </x:c>
      <x:c r="W47" s="42"/>
      <x:c r="X47" s="42"/>
      <x:c r="Y47" s="33" t="str">
        <x:v>KRW</x:v>
      </x:c>
      <x:c r="Z47" s="39" t="n">
        <x:v>18775000</x:v>
      </x:c>
      <x:c r="AA47" s="33" t="n">
        <x:f>COUNTIF('품목 정답'!$A$5:$A$204,A47)</x:f>
        <x:v>4</x:v>
      </x:c>
      <x:c r="AB47" s="33" t="str">
        <x:v>웰포인트바이오 발주서. 공급자 감성과학, 납품장소 경기도 성남시 분당구 판교역로 53길 17 (삼평동, 미르빌딩 1 42호), 총액 18,775,000원, 품목 4행.</x:v>
      </x:c>
      <x:c r="AC47" s="33" t="str">
        <x:v>발주서, 감성과학, 웰포인트바이오, 구매팀 신채린, 레이저장비, LP1500, LP2000, LR-CORE3, LR-CORE1</x:v>
      </x:c>
      <x:c r="AD47" s="33" t="str">
        <x:v>p.1: 공급자·발주자 기본정보·발주조건·발주내용·합계금액</x:v>
      </x:c>
      <x:c r="AE47" s="39" t="n">
        <x:f>SUMIF('품목 정답'!$A$5:$A$204,A47,'품목 정답'!$I$5:$I$204)</x:f>
        <x:v>18775000</x:v>
      </x:c>
      <x:c r="AF47" s="33" t="str">
        <x:f>IF(AE47=Z47,"일치","불일치")</x:f>
        <x:v>일치</x:v>
      </x:c>
      <x:c r="AG47" s="34" t="str">
        <x:v>[검증]</x:v>
      </x:c>
    </x:row>
    <x:row r="48" ht="48" customHeight="1">
      <x:c r="A48" s="32" t="str">
        <x:v>PO-043</x:v>
      </x:c>
      <x:c r="B48" s="33" t="str">
        <x:v>발주서_43.pdf</x:v>
      </x:c>
      <x:c r="C48" s="33" t="str">
        <x:v>PDF</x:v>
      </x:c>
      <x:c r="D48" s="33" t="n">
        <x:v>1</x:v>
      </x:c>
      <x:c r="E48" s="33" t="str">
        <x:v>발주서</x:v>
      </x:c>
      <x:c r="F48" s="33" t="str">
        <x:v>발주서</x:v>
      </x:c>
      <x:c r="G48" s="33" t="str">
        <x:v>감성과학</x:v>
      </x:c>
      <x:c r="H48" s="33" t="str">
        <x:v>288 - 46 0 00419</x:v>
      </x:c>
      <x:c r="I48" s="33" t="str">
        <x:v>서울특별시 종로구 삼일대로32길 36, 지하1층 101호. (익선동, 운현신화타워)</x:v>
      </x:c>
      <x:c r="J48" s="33" t="str">
        <x:v>02 - 801 - 1234</x:v>
      </x:c>
      <x:c r="K48" s="33" t="str">
        <x:v>02 - 801 - 1233</x:v>
      </x:c>
      <x:c r="L48" s="33" t="str">
        <x:v>영업1팀 홍길동</x:v>
      </x:c>
      <x:c r="M48" s="33" t="str">
        <x:v>에이펙스센서</x:v>
      </x:c>
      <x:c r="N48" s="33" t="str">
        <x:v>143 - 72 - 15755</x:v>
      </x:c>
      <x:c r="O48" s="33" t="str">
        <x:v>경기도 수원시 영통구 광교중앙로 54길 2 (이의동, 미르빌딩 1 43호)</x:v>
      </x:c>
      <x:c r="P48" s="33" t="str">
        <x:v>032 - 7854 - 8366</x:v>
      </x:c>
      <x:c r="Q48" s="33" t="str">
        <x:v>032 - 7854 - 1366</x:v>
      </x:c>
      <x:c r="R48" s="33" t="str">
        <x:v>구매팀 배현준</x:v>
      </x:c>
      <x:c r="S48" s="42"/>
      <x:c r="T48" s="42"/>
      <x:c r="U48" s="33" t="str">
        <x:v>경기도 수원시 영통구 광교중앙로 54길 2 (이의동, 미르빌딩 1 43호)</x:v>
      </x:c>
      <x:c r="V48" s="33" t="str">
        <x:v>계산서발행일로부터 익월이내</x:v>
      </x:c>
      <x:c r="W48" s="42"/>
      <x:c r="X48" s="42"/>
      <x:c r="Y48" s="33" t="str">
        <x:v>KRW</x:v>
      </x:c>
      <x:c r="Z48" s="39" t="n">
        <x:v>126750000</x:v>
      </x:c>
      <x:c r="AA48" s="33" t="n">
        <x:f>COUNTIF('품목 정답'!$A$5:$A$204,A48)</x:f>
        <x:v>4</x:v>
      </x:c>
      <x:c r="AB48" s="33" t="str">
        <x:v>에이펙스센서 발주서. 공급자 감성과학, 납품장소 경기도 수원시 영통구 광교중앙로 54길 2 (이의동, 미르빌딩 1 43호), 총액 126,750,000원, 품목 4행.</x:v>
      </x:c>
      <x:c r="AC48" s="33" t="str">
        <x:v>발주서, 감성과학, 에이펙스센서, 구매팀 배현준, 레이저장비, LR-PRO, LR-CORE1, LP1000, LP2000</x:v>
      </x:c>
      <x:c r="AD48" s="33" t="str">
        <x:v>p.1: 공급자·발주자 기본정보·발주조건·발주내용·합계금액</x:v>
      </x:c>
      <x:c r="AE48" s="39" t="n">
        <x:f>SUMIF('품목 정답'!$A$5:$A$204,A48,'품목 정답'!$I$5:$I$204)</x:f>
        <x:v>126750000</x:v>
      </x:c>
      <x:c r="AF48" s="33" t="str">
        <x:f>IF(AE48=Z48,"일치","불일치")</x:f>
        <x:v>일치</x:v>
      </x:c>
      <x:c r="AG48" s="34" t="str">
        <x:v>[검증]</x:v>
      </x:c>
    </x:row>
    <x:row r="49" ht="48" customHeight="1">
      <x:c r="A49" s="32" t="str">
        <x:v>PO-044</x:v>
      </x:c>
      <x:c r="B49" s="33" t="str">
        <x:v>발주서_44.pdf</x:v>
      </x:c>
      <x:c r="C49" s="33" t="str">
        <x:v>PDF</x:v>
      </x:c>
      <x:c r="D49" s="33" t="n">
        <x:v>1</x:v>
      </x:c>
      <x:c r="E49" s="33" t="str">
        <x:v>발주서</x:v>
      </x:c>
      <x:c r="F49" s="33" t="str">
        <x:v>발주서</x:v>
      </x:c>
      <x:c r="G49" s="33" t="str">
        <x:v>감성과학</x:v>
      </x:c>
      <x:c r="H49" s="33" t="str">
        <x:v>288 - 46 0 00419</x:v>
      </x:c>
      <x:c r="I49" s="33" t="str">
        <x:v>서울특별시 종로구 삼일대로32길 36, 지하1층 101호. (익선동, 운현신화타워)</x:v>
      </x:c>
      <x:c r="J49" s="33" t="str">
        <x:v>02 - 801 - 1234</x:v>
      </x:c>
      <x:c r="K49" s="33" t="str">
        <x:v>02 - 801 - 1233</x:v>
      </x:c>
      <x:c r="L49" s="33" t="str">
        <x:v>영업1팀 홍길동</x:v>
      </x:c>
      <x:c r="M49" s="33" t="str">
        <x:v>메디브릿지</x:v>
      </x:c>
      <x:c r="N49" s="33" t="str">
        <x:v>144 - 79 - 15892</x:v>
      </x:c>
      <x:c r="O49" s="33" t="str">
        <x:v>인천광역시 연수구 송도과학로 55길 5 (송도동, 미르빌딩 144 호)</x:v>
      </x:c>
      <x:c r="P49" s="33" t="str">
        <x:v>042 - 7991 - 8539</x:v>
      </x:c>
      <x:c r="Q49" s="33" t="str">
        <x:v>042 - 7991 - 1539</x:v>
      </x:c>
      <x:c r="R49" s="33" t="str">
        <x:v>구매팀 권유림</x:v>
      </x:c>
      <x:c r="S49" s="42"/>
      <x:c r="T49" s="42"/>
      <x:c r="U49" s="33" t="str">
        <x:v>인천광역시 연수구 송도과학로 55길 5 (송도동, 미르빌딩 144 호)</x:v>
      </x:c>
      <x:c r="V49" s="33" t="str">
        <x:v>계산서발행일로부터 익월이내</x:v>
      </x:c>
      <x:c r="W49" s="42"/>
      <x:c r="X49" s="42"/>
      <x:c r="Y49" s="33" t="str">
        <x:v>KRW</x:v>
      </x:c>
      <x:c r="Z49" s="39" t="n">
        <x:v>142875000</x:v>
      </x:c>
      <x:c r="AA49" s="33" t="n">
        <x:f>COUNTIF('품목 정답'!$A$5:$A$204,A49)</x:f>
        <x:v>4</x:v>
      </x:c>
      <x:c r="AB49" s="33" t="str">
        <x:v>메디브릿지 발주서. 공급자 감성과학, 납품장소 인천광역시 연수구 송도과학로 55길 5 (송도동, 미르빌딩 144 호), 총액 142,875,000원, 품목 4행.</x:v>
      </x:c>
      <x:c r="AC49" s="33" t="str">
        <x:v>발주서, 감성과학, 메디브릿지, 구매팀 권유림, 레이저장비, LR2000, LP1500, LR1000, LP1000</x:v>
      </x:c>
      <x:c r="AD49" s="33" t="str">
        <x:v>p.1: 공급자·발주자 기본정보·발주조건·발주내용·합계금액</x:v>
      </x:c>
      <x:c r="AE49" s="39" t="n">
        <x:f>SUMIF('품목 정답'!$A$5:$A$204,A49,'품목 정답'!$I$5:$I$204)</x:f>
        <x:v>142875000</x:v>
      </x:c>
      <x:c r="AF49" s="33" t="str">
        <x:f>IF(AE49=Z49,"일치","불일치")</x:f>
        <x:v>일치</x:v>
      </x:c>
      <x:c r="AG49" s="34" t="str">
        <x:v>[검증]</x:v>
      </x:c>
    </x:row>
    <x:row r="50" ht="48" customHeight="1">
      <x:c r="A50" s="32" t="str">
        <x:v>PO-045</x:v>
      </x:c>
      <x:c r="B50" s="33" t="str">
        <x:v>발주서_45.pdf</x:v>
      </x:c>
      <x:c r="C50" s="33" t="str">
        <x:v>PDF</x:v>
      </x:c>
      <x:c r="D50" s="33" t="n">
        <x:v>1</x:v>
      </x:c>
      <x:c r="E50" s="33" t="str">
        <x:v>발주서</x:v>
      </x:c>
      <x:c r="F50" s="33" t="str">
        <x:v>발주서</x:v>
      </x:c>
      <x:c r="G50" s="33" t="str">
        <x:v>감성과학</x:v>
      </x:c>
      <x:c r="H50" s="33" t="str">
        <x:v>288 - 46 0 00419</x:v>
      </x:c>
      <x:c r="I50" s="33" t="str">
        <x:v>서울특별시 종로구 삼일대로32길 36, 지하1층 101호. (익선동, 운현신화타워)</x:v>
      </x:c>
      <x:c r="J50" s="33" t="str">
        <x:v>02 - 801 - 1234</x:v>
      </x:c>
      <x:c r="K50" s="33" t="str">
        <x:v>02 - 801 - 1233</x:v>
      </x:c>
      <x:c r="L50" s="33" t="str">
        <x:v>영업1팀 홍길동</x:v>
      </x:c>
      <x:c r="M50" s="33" t="str">
        <x:v>뉴클리어헬스</x:v>
      </x:c>
      <x:c r="N50" s="33" t="str">
        <x:v>145 - 86 - 16029</x:v>
      </x:c>
      <x:c r="O50" s="33" t="str">
        <x:v>대전광역시 유성구 테크노중앙로 56길 8 (관평동, 미르빌딩 1 45호)</x:v>
      </x:c>
      <x:c r="P50" s="33" t="str">
        <x:v>051 - 8128 - 8712</x:v>
      </x:c>
      <x:c r="Q50" s="33" t="str">
        <x:v>051 - 8128 - 1712</x:v>
      </x:c>
      <x:c r="R50" s="33" t="str">
        <x:v>구매팀 서민재</x:v>
      </x:c>
      <x:c r="S50" s="42"/>
      <x:c r="T50" s="42"/>
      <x:c r="U50" s="33" t="str">
        <x:v>대전광역시 유성구 테크노중앙로 56길 8 (관평동, 미르빌딩 1 45호)</x:v>
      </x:c>
      <x:c r="V50" s="33" t="str">
        <x:v>계산서발행일로부터 익월이내</x:v>
      </x:c>
      <x:c r="W50" s="42"/>
      <x:c r="X50" s="42"/>
      <x:c r="Y50" s="33" t="str">
        <x:v>KRW</x:v>
      </x:c>
      <x:c r="Z50" s="39" t="n">
        <x:v>60380000</x:v>
      </x:c>
      <x:c r="AA50" s="33" t="n">
        <x:f>COUNTIF('품목 정답'!$A$5:$A$204,A50)</x:f>
        <x:v>4</x:v>
      </x:c>
      <x:c r="AB50" s="33" t="str">
        <x:v>뉴클리어헬스 발주서. 공급자 감성과학, 납품장소 대전광역시 유성구 테크노중앙로 56길 8 (관평동, 미르빌딩 1 45호), 총액 60,380,000원, 품목 4행.</x:v>
      </x:c>
      <x:c r="AC50" s="33" t="str">
        <x:v>발주서, 감성과학, 뉴클리어헬스, 구매팀 서민재, 레이저장비, LR2000, LR1000, LR-CORE3, LP100</x:v>
      </x:c>
      <x:c r="AD50" s="33" t="str">
        <x:v>p.1: 공급자·발주자 기본정보·발주조건·발주내용·합계금액</x:v>
      </x:c>
      <x:c r="AE50" s="39" t="n">
        <x:f>SUMIF('품목 정답'!$A$5:$A$204,A50,'품목 정답'!$I$5:$I$204)</x:f>
        <x:v>60380000</x:v>
      </x:c>
      <x:c r="AF50" s="33" t="str">
        <x:f>IF(AE50=Z50,"일치","불일치")</x:f>
        <x:v>일치</x:v>
      </x:c>
      <x:c r="AG50" s="34" t="str">
        <x:v>[검증]</x:v>
      </x:c>
    </x:row>
    <x:row r="51" ht="48" customHeight="1">
      <x:c r="A51" s="32" t="str">
        <x:v>PO-046</x:v>
      </x:c>
      <x:c r="B51" s="33" t="str">
        <x:v>발주서_46.pdf</x:v>
      </x:c>
      <x:c r="C51" s="33" t="str">
        <x:v>PDF</x:v>
      </x:c>
      <x:c r="D51" s="33" t="n">
        <x:v>1</x:v>
      </x:c>
      <x:c r="E51" s="33" t="str">
        <x:v>발주서</x:v>
      </x:c>
      <x:c r="F51" s="33" t="str">
        <x:v>발주서</x:v>
      </x:c>
      <x:c r="G51" s="33" t="str">
        <x:v>감성과학</x:v>
      </x:c>
      <x:c r="H51" s="33" t="str">
        <x:v>288 - 46 0 00419</x:v>
      </x:c>
      <x:c r="I51" s="33" t="str">
        <x:v>서울특별시 종로구 삼일대로32길 36, 지하1층 101호. (익선동, 운현신화타워)</x:v>
      </x:c>
      <x:c r="J51" s="33" t="str">
        <x:v>02 - 801 - 1234</x:v>
      </x:c>
      <x:c r="K51" s="33" t="str">
        <x:v>02 - 801 - 1233</x:v>
      </x:c>
      <x:c r="L51" s="33" t="str">
        <x:v>영업1팀 홍길동</x:v>
      </x:c>
      <x:c r="M51" s="33" t="str">
        <x:v>하이젠메디텍</x:v>
      </x:c>
      <x:c r="N51" s="33" t="str">
        <x:v>146 - 15 - 16166</x:v>
      </x:c>
      <x:c r="O51" s="33" t="str">
        <x:v>부산광역시 해운대구 센텀중앙로 57길 11 (우동, 미르빌딩 14 6호)</x:v>
      </x:c>
      <x:c r="P51" s="33" t="str">
        <x:v>052 - 8265 - 8885</x:v>
      </x:c>
      <x:c r="Q51" s="33" t="str">
        <x:v>052 - 8265 - 1885</x:v>
      </x:c>
      <x:c r="R51" s="33" t="str">
        <x:v>구매팀 문예진</x:v>
      </x:c>
      <x:c r="S51" s="42"/>
      <x:c r="T51" s="42"/>
      <x:c r="U51" s="33" t="str">
        <x:v>부산광역시 해운대구 센텀중앙로 57길 11 (우동, 미르빌딩 14 6호)</x:v>
      </x:c>
      <x:c r="V51" s="33" t="str">
        <x:v>계산서발행일로부터 익월이내</x:v>
      </x:c>
      <x:c r="W51" s="42"/>
      <x:c r="X51" s="42"/>
      <x:c r="Y51" s="33" t="str">
        <x:v>KRW</x:v>
      </x:c>
      <x:c r="Z51" s="39" t="n">
        <x:v>133080000</x:v>
      </x:c>
      <x:c r="AA51" s="33" t="n">
        <x:f>COUNTIF('품목 정답'!$A$5:$A$204,A51)</x:f>
        <x:v>4</x:v>
      </x:c>
      <x:c r="AB51" s="33" t="str">
        <x:v>하이젠메디텍 발주서. 공급자 감성과학, 납품장소 부산광역시 해운대구 센텀중앙로 57길 11 (우동, 미르빌딩 14 6호), 총액 133,080,000원, 품목 4행.</x:v>
      </x:c>
      <x:c r="AC51" s="33" t="str">
        <x:v>발주서, 감성과학, 하이젠메디텍, 구매팀 문예진, 레이저장비, LR-PRO, LR1000, LP100, LR-CORE2</x:v>
      </x:c>
      <x:c r="AD51" s="33" t="str">
        <x:v>p.1: 공급자·발주자 기본정보·발주조건·발주내용·합계금액</x:v>
      </x:c>
      <x:c r="AE51" s="39" t="n">
        <x:f>SUMIF('품목 정답'!$A$5:$A$204,A51,'품목 정답'!$I$5:$I$204)</x:f>
        <x:v>133080000</x:v>
      </x:c>
      <x:c r="AF51" s="33" t="str">
        <x:f>IF(AE51=Z51,"일치","불일치")</x:f>
        <x:v>일치</x:v>
      </x:c>
      <x:c r="AG51" s="34" t="str">
        <x:v>[검증]</x:v>
      </x:c>
    </x:row>
    <x:row r="52" ht="48" customHeight="1">
      <x:c r="A52" s="32" t="str">
        <x:v>PO-047</x:v>
      </x:c>
      <x:c r="B52" s="33" t="str">
        <x:v>발주서_47.pdf</x:v>
      </x:c>
      <x:c r="C52" s="33" t="str">
        <x:v>PDF</x:v>
      </x:c>
      <x:c r="D52" s="33" t="n">
        <x:v>1</x:v>
      </x:c>
      <x:c r="E52" s="33" t="str">
        <x:v>발주서</x:v>
      </x:c>
      <x:c r="F52" s="33" t="str">
        <x:v>발주서</x:v>
      </x:c>
      <x:c r="G52" s="33" t="str">
        <x:v>감성과학</x:v>
      </x:c>
      <x:c r="H52" s="33" t="str">
        <x:v>288 - 46 0 00419</x:v>
      </x:c>
      <x:c r="I52" s="33" t="str">
        <x:v>서울특별시 종로구 삼일대로32길 36, 지하1층 101호. (익선동, 운현신화타워)</x:v>
      </x:c>
      <x:c r="J52" s="33" t="str">
        <x:v>02 - 801 - 1234</x:v>
      </x:c>
      <x:c r="K52" s="33" t="str">
        <x:v>02 - 801 - 1233</x:v>
      </x:c>
      <x:c r="L52" s="33" t="str">
        <x:v>영업1팀 홍길동</x:v>
      </x:c>
      <x:c r="M52" s="33" t="str">
        <x:v>포커스바이오솔루션</x:v>
      </x:c>
      <x:c r="N52" s="33" t="str">
        <x:v>147 - 22 - 16303</x:v>
      </x:c>
      <x:c r="O52" s="33" t="str">
        <x:v>대구광역시 동구 동대구로 58길 14 (신서동, 미르빌딩 147호)</x:v>
      </x:c>
      <x:c r="P52" s="33" t="str">
        <x:v>053 - 8402 - 9058</x:v>
      </x:c>
      <x:c r="Q52" s="33" t="str">
        <x:v>053 - 8402 - 2058</x:v>
      </x:c>
      <x:c r="R52" s="33" t="str">
        <x:v>구매팀 백도훈</x:v>
      </x:c>
      <x:c r="S52" s="42"/>
      <x:c r="T52" s="42"/>
      <x:c r="U52" s="33" t="str">
        <x:v>대구광역시 동구 동대구로 58길 14 (신서동, 미르빌딩 147호)</x:v>
      </x:c>
      <x:c r="V52" s="33" t="str">
        <x:v>계산서발행일로부터 익월이내</x:v>
      </x:c>
      <x:c r="W52" s="42"/>
      <x:c r="X52" s="42"/>
      <x:c r="Y52" s="33" t="str">
        <x:v>KRW</x:v>
      </x:c>
      <x:c r="Z52" s="39" t="n">
        <x:v>4170000</x:v>
      </x:c>
      <x:c r="AA52" s="33" t="n">
        <x:f>COUNTIF('품목 정답'!$A$5:$A$204,A52)</x:f>
        <x:v>4</x:v>
      </x:c>
      <x:c r="AB52" s="33" t="str">
        <x:v>포커스바이오솔루션 발주서. 공급자 감성과학, 납품장소 대구광역시 동구 동대구로 58길 14 (신서동, 미르빌딩 147호), 총액 4,170,000원, 품목 4행.</x:v>
      </x:c>
      <x:c r="AC52" s="33" t="str">
        <x:v>발주서, 감성과학, 포커스바이오솔루션, 구매팀 백도훈, 레이저장비, LP1000, LP2000, LR-CORE3, LP1500</x:v>
      </x:c>
      <x:c r="AD52" s="33" t="str">
        <x:v>p.1: 공급자·발주자 기본정보·발주조건·발주내용·합계금액</x:v>
      </x:c>
      <x:c r="AE52" s="39" t="n">
        <x:f>SUMIF('품목 정답'!$A$5:$A$204,A52,'품목 정답'!$I$5:$I$204)</x:f>
        <x:v>4170000</x:v>
      </x:c>
      <x:c r="AF52" s="33" t="str">
        <x:f>IF(AE52=Z52,"일치","불일치")</x:f>
        <x:v>일치</x:v>
      </x:c>
      <x:c r="AG52" s="34" t="str">
        <x:v>[검증]</x:v>
      </x:c>
    </x:row>
    <x:row r="53" ht="48" customHeight="1">
      <x:c r="A53" s="32" t="str">
        <x:v>PO-048</x:v>
      </x:c>
      <x:c r="B53" s="33" t="str">
        <x:v>발주서_48.pdf</x:v>
      </x:c>
      <x:c r="C53" s="33" t="str">
        <x:v>PDF</x:v>
      </x:c>
      <x:c r="D53" s="33" t="n">
        <x:v>1</x:v>
      </x:c>
      <x:c r="E53" s="33" t="str">
        <x:v>발주서</x:v>
      </x:c>
      <x:c r="F53" s="33" t="str">
        <x:v>발주서</x:v>
      </x:c>
      <x:c r="G53" s="33" t="str">
        <x:v>감성과학</x:v>
      </x:c>
      <x:c r="H53" s="33" t="str">
        <x:v>288 - 46 0 00419</x:v>
      </x:c>
      <x:c r="I53" s="33" t="str">
        <x:v>서울특별시 종로구 삼일대로32길 36, 지하1층 101호. (익선동, 운현신화타워)</x:v>
      </x:c>
      <x:c r="J53" s="33" t="str">
        <x:v>02 - 801 - 1234</x:v>
      </x:c>
      <x:c r="K53" s="33" t="str">
        <x:v>02 - 801 - 1233</x:v>
      </x:c>
      <x:c r="L53" s="33" t="str">
        <x:v>영업1팀 홍길동</x:v>
      </x:c>
      <x:c r="M53" s="33" t="str">
        <x:v>크레센트메디</x:v>
      </x:c>
      <x:c r="N53" s="33" t="str">
        <x:v>148 - 29 - 16440</x:v>
      </x:c>
      <x:c r="O53" s="33" t="str">
        <x:v>광주광역시 북구 첨단과기로 59길 17 (대촌동, 미르빌딩 148 호)</x:v>
      </x:c>
      <x:c r="P53" s="33" t="str">
        <x:v>054 - 8539 - 1231</x:v>
      </x:c>
      <x:c r="Q53" s="33" t="str">
        <x:v>054 - 8539 - 2231</x:v>
      </x:c>
      <x:c r="R53" s="33" t="str">
        <x:v>구매팀 남유진</x:v>
      </x:c>
      <x:c r="S53" s="42"/>
      <x:c r="T53" s="42"/>
      <x:c r="U53" s="33" t="str">
        <x:v>광주광역시 북구 첨단과기로 59길 17 (대촌동, 미르빌딩 148 호)</x:v>
      </x:c>
      <x:c r="V53" s="33" t="str">
        <x:v>계산서발행일로부터 익월이내</x:v>
      </x:c>
      <x:c r="W53" s="42"/>
      <x:c r="X53" s="42"/>
      <x:c r="Y53" s="33" t="str">
        <x:v>KRW</x:v>
      </x:c>
      <x:c r="Z53" s="39" t="n">
        <x:v>97920000</x:v>
      </x:c>
      <x:c r="AA53" s="33" t="n">
        <x:f>COUNTIF('품목 정답'!$A$5:$A$204,A53)</x:f>
        <x:v>4</x:v>
      </x:c>
      <x:c r="AB53" s="33" t="str">
        <x:v>크레센트메디 발주서. 공급자 감성과학, 납품장소 광주광역시 북구 첨단과기로 59길 17 (대촌동, 미르빌딩 148 호), 총액 97,920,000원, 품목 4행.</x:v>
      </x:c>
      <x:c r="AC53" s="33" t="str">
        <x:v>발주서, 감성과학, 크레센트메디, 구매팀 남유진, 레이저장비, LP100, LR2000, LR-CORE1, LP1000</x:v>
      </x:c>
      <x:c r="AD53" s="33" t="str">
        <x:v>p.1: 공급자·발주자 기본정보·발주조건·발주내용·합계금액</x:v>
      </x:c>
      <x:c r="AE53" s="39" t="n">
        <x:f>SUMIF('품목 정답'!$A$5:$A$204,A53,'품목 정답'!$I$5:$I$204)</x:f>
        <x:v>97920000</x:v>
      </x:c>
      <x:c r="AF53" s="33" t="str">
        <x:f>IF(AE53=Z53,"일치","불일치")</x:f>
        <x:v>일치</x:v>
      </x:c>
      <x:c r="AG53" s="34" t="str">
        <x:v>[검증]</x:v>
      </x:c>
    </x:row>
    <x:row r="54" ht="48" customHeight="1">
      <x:c r="A54" s="32" t="str">
        <x:v>PO-049</x:v>
      </x:c>
      <x:c r="B54" s="33" t="str">
        <x:v>발주서_49.pdf</x:v>
      </x:c>
      <x:c r="C54" s="33" t="str">
        <x:v>PDF</x:v>
      </x:c>
      <x:c r="D54" s="33" t="n">
        <x:v>1</x:v>
      </x:c>
      <x:c r="E54" s="33" t="str">
        <x:v>발주서</x:v>
      </x:c>
      <x:c r="F54" s="33" t="str">
        <x:v>발주서</x:v>
      </x:c>
      <x:c r="G54" s="33" t="str">
        <x:v>감성과학</x:v>
      </x:c>
      <x:c r="H54" s="33" t="str">
        <x:v>288 - 46 0 00419</x:v>
      </x:c>
      <x:c r="I54" s="33" t="str">
        <x:v>서울특별시 종로구 삼일대로32길 36, 지하1층 101호. (익선동, 운현신화타워)</x:v>
      </x:c>
      <x:c r="J54" s="33" t="str">
        <x:v>02 - 801 - 1234</x:v>
      </x:c>
      <x:c r="K54" s="33" t="str">
        <x:v>02 - 801 - 1233</x:v>
      </x:c>
      <x:c r="L54" s="33" t="str">
        <x:v>영업1팀 홍길동</x:v>
      </x:c>
      <x:c r="M54" s="33" t="str">
        <x:v>오브젝트랩</x:v>
      </x:c>
      <x:c r="N54" s="33" t="str">
        <x:v>149 - 36 - 16577</x:v>
      </x:c>
      <x:c r="O54" s="33" t="str">
        <x:v>충청북도 청주시 흥덕구 오송생명로 60길 2 (오송읍, 미르빌딩 149호)</x:v>
      </x:c>
      <x:c r="P54" s="33" t="str">
        <x:v>055 - 8676 - 1404</x:v>
      </x:c>
      <x:c r="Q54" s="33" t="str">
        <x:v>055 - 8676 - 2404</x:v>
      </x:c>
      <x:c r="R54" s="33" t="str">
        <x:v>구매팀 홍지호</x:v>
      </x:c>
      <x:c r="S54" s="42"/>
      <x:c r="T54" s="42"/>
      <x:c r="U54" s="33" t="str">
        <x:v>충청북도 청주시 흥덕구 오송생명로 60길 2 (오송읍, 미르빌딩 149호)</x:v>
      </x:c>
      <x:c r="V54" s="33" t="str">
        <x:v>계산서발행일로부터 익월이내</x:v>
      </x:c>
      <x:c r="W54" s="42"/>
      <x:c r="X54" s="42"/>
      <x:c r="Y54" s="33" t="str">
        <x:v>KRW</x:v>
      </x:c>
      <x:c r="Z54" s="39" t="n">
        <x:v>133320000</x:v>
      </x:c>
      <x:c r="AA54" s="33" t="n">
        <x:f>COUNTIF('품목 정답'!$A$5:$A$204,A54)</x:f>
        <x:v>4</x:v>
      </x:c>
      <x:c r="AB54" s="33" t="str">
        <x:v>오브젝트랩 발주서. 공급자 감성과학, 납품장소 충청북도 청주시 흥덕구 오송생명로 60길 2 (오송읍, 미르빌딩 149호), 총액 133,320,000원, 품목 4행.</x:v>
      </x:c>
      <x:c r="AC54" s="33" t="str">
        <x:v>발주서, 감성과학, 오브젝트랩, 구매팀 홍지호, 레이저장비, LP200, LR1000, LR-PRO, LR-CORE2</x:v>
      </x:c>
      <x:c r="AD54" s="33" t="str">
        <x:v>p.1: 공급자·발주자 기본정보·발주조건·발주내용·합계금액</x:v>
      </x:c>
      <x:c r="AE54" s="39" t="n">
        <x:f>SUMIF('품목 정답'!$A$5:$A$204,A54,'품목 정답'!$I$5:$I$204)</x:f>
        <x:v>133320000</x:v>
      </x:c>
      <x:c r="AF54" s="33" t="str">
        <x:f>IF(AE54=Z54,"일치","불일치")</x:f>
        <x:v>일치</x:v>
      </x:c>
      <x:c r="AG54" s="34" t="str">
        <x:v>[검증]</x:v>
      </x:c>
    </x:row>
    <x:row r="55" ht="48" customHeight="1">
      <x:c r="A55" s="35" t="str">
        <x:v>PO-050</x:v>
      </x:c>
      <x:c r="B55" s="36" t="str">
        <x:v>발주서_50.pdf</x:v>
      </x:c>
      <x:c r="C55" s="36" t="str">
        <x:v>PDF</x:v>
      </x:c>
      <x:c r="D55" s="36" t="n">
        <x:v>1</x:v>
      </x:c>
      <x:c r="E55" s="36" t="str">
        <x:v>발주서</x:v>
      </x:c>
      <x:c r="F55" s="36" t="str">
        <x:v>발주서</x:v>
      </x:c>
      <x:c r="G55" s="36" t="str">
        <x:v>감성과학</x:v>
      </x:c>
      <x:c r="H55" s="36" t="str">
        <x:v>288 - 46 0 00419</x:v>
      </x:c>
      <x:c r="I55" s="36" t="str">
        <x:v>서울특별시 종로구 삼일대로32길 36, 지하1층 101호. (익선동, 운현신화타워)</x:v>
      </x:c>
      <x:c r="J55" s="36" t="str">
        <x:v>02 - 801 - 1234</x:v>
      </x:c>
      <x:c r="K55" s="36" t="str">
        <x:v>02 - 801 - 1233</x:v>
      </x:c>
      <x:c r="L55" s="36" t="str">
        <x:v>영업1팀 홍길동</x:v>
      </x:c>
      <x:c r="M55" s="36" t="str">
        <x:v>다온헬스테크</x:v>
      </x:c>
      <x:c r="N55" s="36" t="str">
        <x:v>150 - 43 - 16714</x:v>
      </x:c>
      <x:c r="O55" s="36" t="str">
        <x:v>경상남도 창원시 성산구 창원대로 61길 5 (상남동, 미르빌딩 1 50호)</x:v>
      </x:c>
      <x:c r="P55" s="36" t="str">
        <x:v>062 - 8813 - 1577</x:v>
      </x:c>
      <x:c r="Q55" s="36" t="str">
        <x:v>062 - 8813 - 2577</x:v>
      </x:c>
      <x:c r="R55" s="36" t="str">
        <x:v>구매팀 노서현</x:v>
      </x:c>
      <x:c r="S55" s="43"/>
      <x:c r="T55" s="43"/>
      <x:c r="U55" s="36" t="str">
        <x:v>경상남도 창원시 성산구 창원대로 61길 5 (상남동, 미르빌딩 1 50호)</x:v>
      </x:c>
      <x:c r="V55" s="36" t="str">
        <x:v>계산서발행일로부터 익월이내</x:v>
      </x:c>
      <x:c r="W55" s="43"/>
      <x:c r="X55" s="43"/>
      <x:c r="Y55" s="36" t="str">
        <x:v>KRW</x:v>
      </x:c>
      <x:c r="Z55" s="40" t="n">
        <x:v>9770000</x:v>
      </x:c>
      <x:c r="AA55" s="36" t="n">
        <x:f>COUNTIF('품목 정답'!$A$5:$A$204,A55)</x:f>
        <x:v>4</x:v>
      </x:c>
      <x:c r="AB55" s="36" t="str">
        <x:v>다온헬스테크 발주서. 공급자 감성과학, 납품장소 경상남도 창원시 성산구 창원대로 61길 5 (상남동, 미르빌딩 1 50호), 총액 9,770,000원, 품목 4행.</x:v>
      </x:c>
      <x:c r="AC55" s="36" t="str">
        <x:v>발주서, 감성과학, 다온헬스테크, 구매팀 노서현, 레이저장비, LP1000, LP2000, LR-CORE3, LR-CORE1</x:v>
      </x:c>
      <x:c r="AD55" s="36" t="str">
        <x:v>p.1: 공급자·발주자 기본정보·발주조건·발주내용·합계금액</x:v>
      </x:c>
      <x:c r="AE55" s="40" t="n">
        <x:f>SUMIF('품목 정답'!$A$5:$A$204,A55,'품목 정답'!$I$5:$I$204)</x:f>
        <x:v>9770000</x:v>
      </x:c>
      <x:c r="AF55" s="36" t="str">
        <x:f>IF(AE55=Z55,"일치","불일치")</x:f>
        <x:v>일치</x:v>
      </x:c>
      <x:c r="AG55" s="37" t="str">
        <x:v>[검증]</x:v>
      </x:c>
    </x:row>
  </x:sheetData>
  <x:conditionalFormatting sqref="AF6:AF55">
    <x:cfRule type="containsText" dxfId="0" priority="1" operator="containsText" text="불일치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8" hidden="0" customWidth="1"/>
    <x:col min="4" max="4" width="14" hidden="0" customWidth="1"/>
    <x:col min="5" max="5" width="10" hidden="0" customWidth="1"/>
    <x:col min="6" max="6" width="8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20" hidden="0" customWidth="1"/>
    <x:col min="13" max="13" width="20" hidden="0" customWidth="1"/>
  </x:cols>
  <x:sheetData>
    <x:row r="1" ht="24" customHeight="1">
      <x:c r="A1" s="3" t="str">
        <x:v>발주서 품목 정답지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4" t="str">
        <x:v>원문 품목표 200행 / 금액 검산식: 수량 × 단가 = 금액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2" customHeight="1">
      <x:c r="A4" s="18" t="str">
        <x:v>문서 ID</x:v>
      </x:c>
      <x:c r="B4" s="19" t="str">
        <x:v>파일명</x:v>
      </x:c>
      <x:c r="C4" s="19" t="str">
        <x:v>순번</x:v>
      </x:c>
      <x:c r="D4" s="19" t="str">
        <x:v>품명</x:v>
      </x:c>
      <x:c r="E4" s="19" t="str">
        <x:v>규격</x:v>
      </x:c>
      <x:c r="F4" s="19" t="str">
        <x:v>단위</x:v>
      </x:c>
      <x:c r="G4" s="19" t="str">
        <x:v>수량</x:v>
      </x:c>
      <x:c r="H4" s="19" t="str">
        <x:v>단가(KRW)</x:v>
      </x:c>
      <x:c r="I4" s="19" t="str">
        <x:v>금액(KRW)</x:v>
      </x:c>
      <x:c r="J4" s="19" t="str">
        <x:v>금액 검산</x:v>
      </x:c>
      <x:c r="K4" s="19" t="str">
        <x:v>검산 판정</x:v>
      </x:c>
      <x:c r="L4" s="19" t="str">
        <x:v>비고</x:v>
      </x:c>
      <x:c r="M4" s="20" t="str">
        <x:v>원문 근거</x:v>
      </x:c>
    </x:row>
    <x:row r="5" ht="24" customHeight="1">
      <x:c r="A5" s="29" t="str">
        <x:v>PO-001</x:v>
      </x:c>
      <x:c r="B5" s="30" t="str">
        <x:v>발주서_1.pdf</x:v>
      </x:c>
      <x:c r="C5" s="30" t="n">
        <x:v>1</x:v>
      </x:c>
      <x:c r="D5" s="30" t="str">
        <x:v>LP1500</x:v>
      </x:c>
      <x:c r="E5" s="30" t="str">
        <x:v>-</x:v>
      </x:c>
      <x:c r="F5" s="30" t="str">
        <x:v>EA</x:v>
      </x:c>
      <x:c r="G5" s="38" t="n">
        <x:v>15</x:v>
      </x:c>
      <x:c r="H5" s="38" t="n">
        <x:v>145000</x:v>
      </x:c>
      <x:c r="I5" s="38" t="n">
        <x:v>2175000</x:v>
      </x:c>
      <x:c r="J5" s="38" t="n">
        <x:f>G5*H5</x:f>
        <x:v>2175000</x:v>
      </x:c>
      <x:c r="K5" s="30" t="str">
        <x:f>IF(I5=J5,"일치","불일치")</x:f>
        <x:v>일치</x:v>
      </x:c>
      <x:c r="L5" s="30" t="str">
        <x:v>레이저장비 프로브</x:v>
      </x:c>
      <x:c r="M5" s="31" t="str">
        <x:v>p.1 발주내용 품목표</x:v>
      </x:c>
    </x:row>
    <x:row r="6" ht="24" customHeight="1">
      <x:c r="A6" s="32" t="str">
        <x:v>PO-001</x:v>
      </x:c>
      <x:c r="B6" s="33" t="str">
        <x:v>발주서_1.pdf</x:v>
      </x:c>
      <x:c r="C6" s="33" t="n">
        <x:v>2</x:v>
      </x:c>
      <x:c r="D6" s="33" t="str">
        <x:v>LR1000</x:v>
      </x:c>
      <x:c r="E6" s="33" t="str">
        <x:v>-</x:v>
      </x:c>
      <x:c r="F6" s="33" t="str">
        <x:v>EA</x:v>
      </x:c>
      <x:c r="G6" s="39" t="n">
        <x:v>10</x:v>
      </x:c>
      <x:c r="H6" s="39" t="n">
        <x:v>4500000</x:v>
      </x:c>
      <x:c r="I6" s="39" t="n">
        <x:v>45000000</x:v>
      </x:c>
      <x:c r="J6" s="39" t="n">
        <x:f>G6*H6</x:f>
        <x:v>45000000</x:v>
      </x:c>
      <x:c r="K6" s="33" t="str">
        <x:f>IF(I6=J6,"일치","불일치")</x:f>
        <x:v>일치</x:v>
      </x:c>
      <x:c r="L6" s="33" t="str">
        <x:v>레이저장비 시스템</x:v>
      </x:c>
      <x:c r="M6" s="34" t="str">
        <x:v>p.1 발주내용 품목표</x:v>
      </x:c>
    </x:row>
    <x:row r="7" ht="24" customHeight="1">
      <x:c r="A7" s="32" t="str">
        <x:v>PO-001</x:v>
      </x:c>
      <x:c r="B7" s="33" t="str">
        <x:v>발주서_1.pdf</x:v>
      </x:c>
      <x:c r="C7" s="33" t="n">
        <x:v>3</x:v>
      </x:c>
      <x:c r="D7" s="33" t="str">
        <x:v>LR-CORE1</x:v>
      </x:c>
      <x:c r="E7" s="33" t="str">
        <x:v>-</x:v>
      </x:c>
      <x:c r="F7" s="33" t="str">
        <x:v>EA</x:v>
      </x:c>
      <x:c r="G7" s="39" t="n">
        <x:v>5</x:v>
      </x:c>
      <x:c r="H7" s="39" t="n">
        <x:v>4200000</x:v>
      </x:c>
      <x:c r="I7" s="39" t="n">
        <x:v>21000000</x:v>
      </x:c>
      <x:c r="J7" s="39" t="n">
        <x:f>G7*H7</x:f>
        <x:v>21000000</x:v>
      </x:c>
      <x:c r="K7" s="33" t="str">
        <x:f>IF(I7=J7,"일치","불일치")</x:f>
        <x:v>일치</x:v>
      </x:c>
      <x:c r="L7" s="33" t="str">
        <x:v>레이저장비 액세서리</x:v>
      </x:c>
      <x:c r="M7" s="34" t="str">
        <x:v>p.1 발주내용 품목표</x:v>
      </x:c>
    </x:row>
    <x:row r="8" ht="24" customHeight="1">
      <x:c r="A8" s="32" t="str">
        <x:v>PO-001</x:v>
      </x:c>
      <x:c r="B8" s="33" t="str">
        <x:v>발주서_1.pdf</x:v>
      </x:c>
      <x:c r="C8" s="33" t="n">
        <x:v>4</x:v>
      </x:c>
      <x:c r="D8" s="33" t="str">
        <x:v>LR2000</x:v>
      </x:c>
      <x:c r="E8" s="33" t="str">
        <x:v>-</x:v>
      </x:c>
      <x:c r="F8" s="33" t="str">
        <x:v>EA</x:v>
      </x:c>
      <x:c r="G8" s="39" t="n">
        <x:v>15</x:v>
      </x:c>
      <x:c r="H8" s="39" t="n">
        <x:v>5200000</x:v>
      </x:c>
      <x:c r="I8" s="39" t="n">
        <x:v>78000000</x:v>
      </x:c>
      <x:c r="J8" s="39" t="n">
        <x:f>G8*H8</x:f>
        <x:v>78000000</x:v>
      </x:c>
      <x:c r="K8" s="33" t="str">
        <x:f>IF(I8=J8,"일치","불일치")</x:f>
        <x:v>일치</x:v>
      </x:c>
      <x:c r="L8" s="33" t="str">
        <x:v>레이저장비 시스템</x:v>
      </x:c>
      <x:c r="M8" s="34" t="str">
        <x:v>p.1 발주내용 품목표</x:v>
      </x:c>
    </x:row>
    <x:row r="9" ht="24" customHeight="1">
      <x:c r="A9" s="32" t="str">
        <x:v>PO-002</x:v>
      </x:c>
      <x:c r="B9" s="33" t="str">
        <x:v>발주서_2.pdf</x:v>
      </x:c>
      <x:c r="C9" s="33" t="n">
        <x:v>1</x:v>
      </x:c>
      <x:c r="D9" s="33" t="str">
        <x:v>LR1000</x:v>
      </x:c>
      <x:c r="E9" s="33" t="str">
        <x:v>-</x:v>
      </x:c>
      <x:c r="F9" s="33" t="str">
        <x:v>EA</x:v>
      </x:c>
      <x:c r="G9" s="39" t="n">
        <x:v>14</x:v>
      </x:c>
      <x:c r="H9" s="39" t="n">
        <x:v>4500000</x:v>
      </x:c>
      <x:c r="I9" s="39" t="n">
        <x:v>63000000</x:v>
      </x:c>
      <x:c r="J9" s="39" t="n">
        <x:f>G9*H9</x:f>
        <x:v>63000000</x:v>
      </x:c>
      <x:c r="K9" s="33" t="str">
        <x:f>IF(I9=J9,"일치","불일치")</x:f>
        <x:v>일치</x:v>
      </x:c>
      <x:c r="L9" s="33" t="str">
        <x:v>레이저장비 시스템</x:v>
      </x:c>
      <x:c r="M9" s="34" t="str">
        <x:v>p.1 발주내용 품목표</x:v>
      </x:c>
    </x:row>
    <x:row r="10" ht="24" customHeight="1">
      <x:c r="A10" s="32" t="str">
        <x:v>PO-002</x:v>
      </x:c>
      <x:c r="B10" s="33" t="str">
        <x:v>발주서_2.pdf</x:v>
      </x:c>
      <x:c r="C10" s="33" t="n">
        <x:v>2</x:v>
      </x:c>
      <x:c r="D10" s="33" t="str">
        <x:v>LR-CORE2</x:v>
      </x:c>
      <x:c r="E10" s="33" t="str">
        <x:v>-</x:v>
      </x:c>
      <x:c r="F10" s="33" t="str">
        <x:v>EA</x:v>
      </x:c>
      <x:c r="G10" s="39" t="n">
        <x:v>14</x:v>
      </x:c>
      <x:c r="H10" s="39" t="n">
        <x:v>4800000</x:v>
      </x:c>
      <x:c r="I10" s="39" t="n">
        <x:v>67200000</x:v>
      </x:c>
      <x:c r="J10" s="39" t="n">
        <x:f>G10*H10</x:f>
        <x:v>67200000</x:v>
      </x:c>
      <x:c r="K10" s="33" t="str">
        <x:f>IF(I10=J10,"일치","불일치")</x:f>
        <x:v>일치</x:v>
      </x:c>
      <x:c r="L10" s="33" t="str">
        <x:v>레이저장비 액세서리</x:v>
      </x:c>
      <x:c r="M10" s="34" t="str">
        <x:v>p.1 발주내용 품목표</x:v>
      </x:c>
    </x:row>
    <x:row r="11" ht="24" customHeight="1">
      <x:c r="A11" s="32" t="str">
        <x:v>PO-002</x:v>
      </x:c>
      <x:c r="B11" s="33" t="str">
        <x:v>발주서_2.pdf</x:v>
      </x:c>
      <x:c r="C11" s="33" t="n">
        <x:v>3</x:v>
      </x:c>
      <x:c r="D11" s="33" t="str">
        <x:v>LP2000</x:v>
      </x:c>
      <x:c r="E11" s="33" t="str">
        <x:v>-</x:v>
      </x:c>
      <x:c r="F11" s="33" t="str">
        <x:v>EA</x:v>
      </x:c>
      <x:c r="G11" s="39" t="n">
        <x:v>6</x:v>
      </x:c>
      <x:c r="H11" s="39" t="n">
        <x:v>175000</x:v>
      </x:c>
      <x:c r="I11" s="39" t="n">
        <x:v>1050000</x:v>
      </x:c>
      <x:c r="J11" s="39" t="n">
        <x:f>G11*H11</x:f>
        <x:v>1050000</x:v>
      </x:c>
      <x:c r="K11" s="33" t="str">
        <x:f>IF(I11=J11,"일치","불일치")</x:f>
        <x:v>일치</x:v>
      </x:c>
      <x:c r="L11" s="33" t="str">
        <x:v>레이저장비 프로브</x:v>
      </x:c>
      <x:c r="M11" s="34" t="str">
        <x:v>p.1 발주내용 품목표</x:v>
      </x:c>
    </x:row>
    <x:row r="12" ht="24" customHeight="1">
      <x:c r="A12" s="32" t="str">
        <x:v>PO-002</x:v>
      </x:c>
      <x:c r="B12" s="33" t="str">
        <x:v>발주서_2.pdf</x:v>
      </x:c>
      <x:c r="C12" s="33" t="n">
        <x:v>4</x:v>
      </x:c>
      <x:c r="D12" s="33" t="str">
        <x:v>LP1000</x:v>
      </x:c>
      <x:c r="E12" s="33" t="str">
        <x:v>-</x:v>
      </x:c>
      <x:c r="F12" s="33" t="str">
        <x:v>EA</x:v>
      </x:c>
      <x:c r="G12" s="39" t="n">
        <x:v>12</x:v>
      </x:c>
      <x:c r="H12" s="39" t="n">
        <x:v>130000</x:v>
      </x:c>
      <x:c r="I12" s="39" t="n">
        <x:v>1560000</x:v>
      </x:c>
      <x:c r="J12" s="39" t="n">
        <x:f>G12*H12</x:f>
        <x:v>1560000</x:v>
      </x:c>
      <x:c r="K12" s="33" t="str">
        <x:f>IF(I12=J12,"일치","불일치")</x:f>
        <x:v>일치</x:v>
      </x:c>
      <x:c r="L12" s="33" t="str">
        <x:v>레이저장비 프로브</x:v>
      </x:c>
      <x:c r="M12" s="34" t="str">
        <x:v>p.1 발주내용 품목표</x:v>
      </x:c>
    </x:row>
    <x:row r="13" ht="24" customHeight="1">
      <x:c r="A13" s="32" t="str">
        <x:v>PO-003</x:v>
      </x:c>
      <x:c r="B13" s="33" t="str">
        <x:v>발주서_3.pdf</x:v>
      </x:c>
      <x:c r="C13" s="33" t="n">
        <x:v>1</x:v>
      </x:c>
      <x:c r="D13" s="33" t="str">
        <x:v>LR-PRO</x:v>
      </x:c>
      <x:c r="E13" s="33" t="str">
        <x:v>-</x:v>
      </x:c>
      <x:c r="F13" s="33" t="str">
        <x:v>EA</x:v>
      </x:c>
      <x:c r="G13" s="39" t="n">
        <x:v>5</x:v>
      </x:c>
      <x:c r="H13" s="39" t="n">
        <x:v>6000000</x:v>
      </x:c>
      <x:c r="I13" s="39" t="n">
        <x:v>30000000</x:v>
      </x:c>
      <x:c r="J13" s="39" t="n">
        <x:f>G13*H13</x:f>
        <x:v>30000000</x:v>
      </x:c>
      <x:c r="K13" s="33" t="str">
        <x:f>IF(I13=J13,"일치","불일치")</x:f>
        <x:v>일치</x:v>
      </x:c>
      <x:c r="L13" s="33" t="str">
        <x:v>레이저장비 시스템</x:v>
      </x:c>
      <x:c r="M13" s="34" t="str">
        <x:v>p.1 발주내용 품목표</x:v>
      </x:c>
    </x:row>
    <x:row r="14" ht="24" customHeight="1">
      <x:c r="A14" s="32" t="str">
        <x:v>PO-003</x:v>
      </x:c>
      <x:c r="B14" s="33" t="str">
        <x:v>발주서_3.pdf</x:v>
      </x:c>
      <x:c r="C14" s="33" t="n">
        <x:v>2</x:v>
      </x:c>
      <x:c r="D14" s="33" t="str">
        <x:v>LR-CORE2</x:v>
      </x:c>
      <x:c r="E14" s="33" t="str">
        <x:v>-</x:v>
      </x:c>
      <x:c r="F14" s="33" t="str">
        <x:v>EA</x:v>
      </x:c>
      <x:c r="G14" s="39" t="n">
        <x:v>10</x:v>
      </x:c>
      <x:c r="H14" s="39" t="n">
        <x:v>4800000</x:v>
      </x:c>
      <x:c r="I14" s="39" t="n">
        <x:v>48000000</x:v>
      </x:c>
      <x:c r="J14" s="39" t="n">
        <x:f>G14*H14</x:f>
        <x:v>48000000</x:v>
      </x:c>
      <x:c r="K14" s="33" t="str">
        <x:f>IF(I14=J14,"일치","불일치")</x:f>
        <x:v>일치</x:v>
      </x:c>
      <x:c r="L14" s="33" t="str">
        <x:v>레이저장비 액세서리</x:v>
      </x:c>
      <x:c r="M14" s="34" t="str">
        <x:v>p.1 발주내용 품목표</x:v>
      </x:c>
    </x:row>
    <x:row r="15" ht="24" customHeight="1">
      <x:c r="A15" s="32" t="str">
        <x:v>PO-003</x:v>
      </x:c>
      <x:c r="B15" s="33" t="str">
        <x:v>발주서_3.pdf</x:v>
      </x:c>
      <x:c r="C15" s="33" t="n">
        <x:v>3</x:v>
      </x:c>
      <x:c r="D15" s="33" t="str">
        <x:v>LR-CORE3</x:v>
      </x:c>
      <x:c r="E15" s="33" t="str">
        <x:v>-</x:v>
      </x:c>
      <x:c r="F15" s="33" t="str">
        <x:v>EA</x:v>
      </x:c>
      <x:c r="G15" s="39" t="n">
        <x:v>6</x:v>
      </x:c>
      <x:c r="H15" s="39" t="n">
        <x:v>60000</x:v>
      </x:c>
      <x:c r="I15" s="39" t="n">
        <x:v>360000</x:v>
      </x:c>
      <x:c r="J15" s="39" t="n">
        <x:f>G15*H15</x:f>
        <x:v>360000</x:v>
      </x:c>
      <x:c r="K15" s="33" t="str">
        <x:f>IF(I15=J15,"일치","불일치")</x:f>
        <x:v>일치</x:v>
      </x:c>
      <x:c r="L15" s="33" t="str">
        <x:v>레이저장비 액세서리</x:v>
      </x:c>
      <x:c r="M15" s="34" t="str">
        <x:v>p.1 발주내용 품목표</x:v>
      </x:c>
    </x:row>
    <x:row r="16" ht="24" customHeight="1">
      <x:c r="A16" s="32" t="str">
        <x:v>PO-003</x:v>
      </x:c>
      <x:c r="B16" s="33" t="str">
        <x:v>발주서_3.pdf</x:v>
      </x:c>
      <x:c r="C16" s="33" t="n">
        <x:v>4</x:v>
      </x:c>
      <x:c r="D16" s="33" t="str">
        <x:v>LR2000</x:v>
      </x:c>
      <x:c r="E16" s="33" t="str">
        <x:v>-</x:v>
      </x:c>
      <x:c r="F16" s="33" t="str">
        <x:v>EA</x:v>
      </x:c>
      <x:c r="G16" s="39" t="n">
        <x:v>2</x:v>
      </x:c>
      <x:c r="H16" s="39" t="n">
        <x:v>5200000</x:v>
      </x:c>
      <x:c r="I16" s="39" t="n">
        <x:v>10400000</x:v>
      </x:c>
      <x:c r="J16" s="39" t="n">
        <x:f>G16*H16</x:f>
        <x:v>10400000</x:v>
      </x:c>
      <x:c r="K16" s="33" t="str">
        <x:f>IF(I16=J16,"일치","불일치")</x:f>
        <x:v>일치</x:v>
      </x:c>
      <x:c r="L16" s="33" t="str">
        <x:v>레이저장비 시스템</x:v>
      </x:c>
      <x:c r="M16" s="34" t="str">
        <x:v>p.1 발주내용 품목표</x:v>
      </x:c>
    </x:row>
    <x:row r="17" ht="24" customHeight="1">
      <x:c r="A17" s="32" t="str">
        <x:v>PO-004</x:v>
      </x:c>
      <x:c r="B17" s="33" t="str">
        <x:v>발주서_4.pdf</x:v>
      </x:c>
      <x:c r="C17" s="33" t="n">
        <x:v>1</x:v>
      </x:c>
      <x:c r="D17" s="33" t="str">
        <x:v>LP200</x:v>
      </x:c>
      <x:c r="E17" s="33" t="str">
        <x:v>-</x:v>
      </x:c>
      <x:c r="F17" s="33" t="str">
        <x:v>EA</x:v>
      </x:c>
      <x:c r="G17" s="39" t="n">
        <x:v>6</x:v>
      </x:c>
      <x:c r="H17" s="39" t="n">
        <x:v>240000</x:v>
      </x:c>
      <x:c r="I17" s="39" t="n">
        <x:v>1440000</x:v>
      </x:c>
      <x:c r="J17" s="39" t="n">
        <x:f>G17*H17</x:f>
        <x:v>1440000</x:v>
      </x:c>
      <x:c r="K17" s="33" t="str">
        <x:f>IF(I17=J17,"일치","불일치")</x:f>
        <x:v>일치</x:v>
      </x:c>
      <x:c r="L17" s="33" t="str">
        <x:v>레이저장비 부품</x:v>
      </x:c>
      <x:c r="M17" s="34" t="str">
        <x:v>p.1 발주내용 품목표</x:v>
      </x:c>
    </x:row>
    <x:row r="18" ht="24" customHeight="1">
      <x:c r="A18" s="32" t="str">
        <x:v>PO-004</x:v>
      </x:c>
      <x:c r="B18" s="33" t="str">
        <x:v>발주서_4.pdf</x:v>
      </x:c>
      <x:c r="C18" s="33" t="n">
        <x:v>2</x:v>
      </x:c>
      <x:c r="D18" s="33" t="str">
        <x:v>LP2000</x:v>
      </x:c>
      <x:c r="E18" s="33" t="str">
        <x:v>-</x:v>
      </x:c>
      <x:c r="F18" s="33" t="str">
        <x:v>EA</x:v>
      </x:c>
      <x:c r="G18" s="39" t="n">
        <x:v>9</x:v>
      </x:c>
      <x:c r="H18" s="39" t="n">
        <x:v>175000</x:v>
      </x:c>
      <x:c r="I18" s="39" t="n">
        <x:v>1575000</x:v>
      </x:c>
      <x:c r="J18" s="39" t="n">
        <x:f>G18*H18</x:f>
        <x:v>1575000</x:v>
      </x:c>
      <x:c r="K18" s="33" t="str">
        <x:f>IF(I18=J18,"일치","불일치")</x:f>
        <x:v>일치</x:v>
      </x:c>
      <x:c r="L18" s="33" t="str">
        <x:v>레이저장비 프로브</x:v>
      </x:c>
      <x:c r="M18" s="34" t="str">
        <x:v>p.1 발주내용 품목표</x:v>
      </x:c>
    </x:row>
    <x:row r="19" ht="24" customHeight="1">
      <x:c r="A19" s="32" t="str">
        <x:v>PO-004</x:v>
      </x:c>
      <x:c r="B19" s="33" t="str">
        <x:v>발주서_4.pdf</x:v>
      </x:c>
      <x:c r="C19" s="33" t="n">
        <x:v>3</x:v>
      </x:c>
      <x:c r="D19" s="33" t="str">
        <x:v>LP1500</x:v>
      </x:c>
      <x:c r="E19" s="33" t="str">
        <x:v>-</x:v>
      </x:c>
      <x:c r="F19" s="33" t="str">
        <x:v>EA</x:v>
      </x:c>
      <x:c r="G19" s="39" t="n">
        <x:v>15</x:v>
      </x:c>
      <x:c r="H19" s="39" t="n">
        <x:v>145000</x:v>
      </x:c>
      <x:c r="I19" s="39" t="n">
        <x:v>2175000</x:v>
      </x:c>
      <x:c r="J19" s="39" t="n">
        <x:f>G19*H19</x:f>
        <x:v>2175000</x:v>
      </x:c>
      <x:c r="K19" s="33" t="str">
        <x:f>IF(I19=J19,"일치","불일치")</x:f>
        <x:v>일치</x:v>
      </x:c>
      <x:c r="L19" s="33" t="str">
        <x:v>레이저장비 프로브</x:v>
      </x:c>
      <x:c r="M19" s="34" t="str">
        <x:v>p.1 발주내용 품목표</x:v>
      </x:c>
    </x:row>
    <x:row r="20" ht="24" customHeight="1">
      <x:c r="A20" s="32" t="str">
        <x:v>PO-004</x:v>
      </x:c>
      <x:c r="B20" s="33" t="str">
        <x:v>발주서_4.pdf</x:v>
      </x:c>
      <x:c r="C20" s="33" t="n">
        <x:v>4</x:v>
      </x:c>
      <x:c r="D20" s="33" t="str">
        <x:v>LR-PRO</x:v>
      </x:c>
      <x:c r="E20" s="33" t="str">
        <x:v>-</x:v>
      </x:c>
      <x:c r="F20" s="33" t="str">
        <x:v>EA</x:v>
      </x:c>
      <x:c r="G20" s="39" t="n">
        <x:v>12</x:v>
      </x:c>
      <x:c r="H20" s="39" t="n">
        <x:v>6000000</x:v>
      </x:c>
      <x:c r="I20" s="39" t="n">
        <x:v>72000000</x:v>
      </x:c>
      <x:c r="J20" s="39" t="n">
        <x:f>G20*H20</x:f>
        <x:v>72000000</x:v>
      </x:c>
      <x:c r="K20" s="33" t="str">
        <x:f>IF(I20=J20,"일치","불일치")</x:f>
        <x:v>일치</x:v>
      </x:c>
      <x:c r="L20" s="33" t="str">
        <x:v>레이저장비 시스템</x:v>
      </x:c>
      <x:c r="M20" s="34" t="str">
        <x:v>p.1 발주내용 품목표</x:v>
      </x:c>
    </x:row>
    <x:row r="21" ht="24" customHeight="1">
      <x:c r="A21" s="32" t="str">
        <x:v>PO-005</x:v>
      </x:c>
      <x:c r="B21" s="33" t="str">
        <x:v>발주서_5.pdf</x:v>
      </x:c>
      <x:c r="C21" s="33" t="n">
        <x:v>1</x:v>
      </x:c>
      <x:c r="D21" s="33" t="str">
        <x:v>LP1000</x:v>
      </x:c>
      <x:c r="E21" s="33" t="str">
        <x:v>-</x:v>
      </x:c>
      <x:c r="F21" s="33" t="str">
        <x:v>EA</x:v>
      </x:c>
      <x:c r="G21" s="39" t="n">
        <x:v>2</x:v>
      </x:c>
      <x:c r="H21" s="39" t="n">
        <x:v>130000</x:v>
      </x:c>
      <x:c r="I21" s="39" t="n">
        <x:v>260000</x:v>
      </x:c>
      <x:c r="J21" s="39" t="n">
        <x:f>G21*H21</x:f>
        <x:v>260000</x:v>
      </x:c>
      <x:c r="K21" s="33" t="str">
        <x:f>IF(I21=J21,"일치","불일치")</x:f>
        <x:v>일치</x:v>
      </x:c>
      <x:c r="L21" s="33" t="str">
        <x:v>레이저장비 프로브</x:v>
      </x:c>
      <x:c r="M21" s="34" t="str">
        <x:v>p.1 발주내용 품목표</x:v>
      </x:c>
    </x:row>
    <x:row r="22" ht="24" customHeight="1">
      <x:c r="A22" s="32" t="str">
        <x:v>PO-005</x:v>
      </x:c>
      <x:c r="B22" s="33" t="str">
        <x:v>발주서_5.pdf</x:v>
      </x:c>
      <x:c r="C22" s="33" t="n">
        <x:v>2</x:v>
      </x:c>
      <x:c r="D22" s="33" t="str">
        <x:v>LR1000</x:v>
      </x:c>
      <x:c r="E22" s="33" t="str">
        <x:v>-</x:v>
      </x:c>
      <x:c r="F22" s="33" t="str">
        <x:v>EA</x:v>
      </x:c>
      <x:c r="G22" s="39" t="n">
        <x:v>4</x:v>
      </x:c>
      <x:c r="H22" s="39" t="n">
        <x:v>4500000</x:v>
      </x:c>
      <x:c r="I22" s="39" t="n">
        <x:v>18000000</x:v>
      </x:c>
      <x:c r="J22" s="39" t="n">
        <x:f>G22*H22</x:f>
        <x:v>18000000</x:v>
      </x:c>
      <x:c r="K22" s="33" t="str">
        <x:f>IF(I22=J22,"일치","불일치")</x:f>
        <x:v>일치</x:v>
      </x:c>
      <x:c r="L22" s="33" t="str">
        <x:v>레이저장비 시스템</x:v>
      </x:c>
      <x:c r="M22" s="34" t="str">
        <x:v>p.1 발주내용 품목표</x:v>
      </x:c>
    </x:row>
    <x:row r="23" ht="24" customHeight="1">
      <x:c r="A23" s="32" t="str">
        <x:v>PO-005</x:v>
      </x:c>
      <x:c r="B23" s="33" t="str">
        <x:v>발주서_5.pdf</x:v>
      </x:c>
      <x:c r="C23" s="33" t="n">
        <x:v>3</x:v>
      </x:c>
      <x:c r="D23" s="33" t="str">
        <x:v>LR-CORE1</x:v>
      </x:c>
      <x:c r="E23" s="33" t="str">
        <x:v>-</x:v>
      </x:c>
      <x:c r="F23" s="33" t="str">
        <x:v>EA</x:v>
      </x:c>
      <x:c r="G23" s="39" t="n">
        <x:v>11</x:v>
      </x:c>
      <x:c r="H23" s="39" t="n">
        <x:v>4200000</x:v>
      </x:c>
      <x:c r="I23" s="39" t="n">
        <x:v>46200000</x:v>
      </x:c>
      <x:c r="J23" s="39" t="n">
        <x:f>G23*H23</x:f>
        <x:v>46200000</x:v>
      </x:c>
      <x:c r="K23" s="33" t="str">
        <x:f>IF(I23=J23,"일치","불일치")</x:f>
        <x:v>일치</x:v>
      </x:c>
      <x:c r="L23" s="33" t="str">
        <x:v>레이저장비 액세서리</x:v>
      </x:c>
      <x:c r="M23" s="34" t="str">
        <x:v>p.1 발주내용 품목표</x:v>
      </x:c>
    </x:row>
    <x:row r="24" ht="24" customHeight="1">
      <x:c r="A24" s="32" t="str">
        <x:v>PO-005</x:v>
      </x:c>
      <x:c r="B24" s="33" t="str">
        <x:v>발주서_5.pdf</x:v>
      </x:c>
      <x:c r="C24" s="33" t="n">
        <x:v>4</x:v>
      </x:c>
      <x:c r="D24" s="33" t="str">
        <x:v>LR2000</x:v>
      </x:c>
      <x:c r="E24" s="33" t="str">
        <x:v>-</x:v>
      </x:c>
      <x:c r="F24" s="33" t="str">
        <x:v>EA</x:v>
      </x:c>
      <x:c r="G24" s="39" t="n">
        <x:v>12</x:v>
      </x:c>
      <x:c r="H24" s="39" t="n">
        <x:v>5200000</x:v>
      </x:c>
      <x:c r="I24" s="39" t="n">
        <x:v>62400000</x:v>
      </x:c>
      <x:c r="J24" s="39" t="n">
        <x:f>G24*H24</x:f>
        <x:v>62400000</x:v>
      </x:c>
      <x:c r="K24" s="33" t="str">
        <x:f>IF(I24=J24,"일치","불일치")</x:f>
        <x:v>일치</x:v>
      </x:c>
      <x:c r="L24" s="33" t="str">
        <x:v>레이저장비 시스템</x:v>
      </x:c>
      <x:c r="M24" s="34" t="str">
        <x:v>p.1 발주내용 품목표</x:v>
      </x:c>
    </x:row>
    <x:row r="25" ht="24" customHeight="1">
      <x:c r="A25" s="32" t="str">
        <x:v>PO-006</x:v>
      </x:c>
      <x:c r="B25" s="33" t="str">
        <x:v>발주서_6.pdf</x:v>
      </x:c>
      <x:c r="C25" s="33" t="n">
        <x:v>1</x:v>
      </x:c>
      <x:c r="D25" s="33" t="str">
        <x:v>LR2000</x:v>
      </x:c>
      <x:c r="E25" s="33" t="str">
        <x:v>-</x:v>
      </x:c>
      <x:c r="F25" s="33" t="str">
        <x:v>EA</x:v>
      </x:c>
      <x:c r="G25" s="39" t="n">
        <x:v>3</x:v>
      </x:c>
      <x:c r="H25" s="39" t="n">
        <x:v>5200000</x:v>
      </x:c>
      <x:c r="I25" s="39" t="n">
        <x:v>15600000</x:v>
      </x:c>
      <x:c r="J25" s="39" t="n">
        <x:f>G25*H25</x:f>
        <x:v>15600000</x:v>
      </x:c>
      <x:c r="K25" s="33" t="str">
        <x:f>IF(I25=J25,"일치","불일치")</x:f>
        <x:v>일치</x:v>
      </x:c>
      <x:c r="L25" s="33" t="str">
        <x:v>레이저장비 시스템</x:v>
      </x:c>
      <x:c r="M25" s="34" t="str">
        <x:v>p.1 발주내용 품목표</x:v>
      </x:c>
    </x:row>
    <x:row r="26" ht="24" customHeight="1">
      <x:c r="A26" s="32" t="str">
        <x:v>PO-006</x:v>
      </x:c>
      <x:c r="B26" s="33" t="str">
        <x:v>발주서_6.pdf</x:v>
      </x:c>
      <x:c r="C26" s="33" t="n">
        <x:v>2</x:v>
      </x:c>
      <x:c r="D26" s="33" t="str">
        <x:v>LP100</x:v>
      </x:c>
      <x:c r="E26" s="33" t="str">
        <x:v>-</x:v>
      </x:c>
      <x:c r="F26" s="33" t="str">
        <x:v>EA</x:v>
      </x:c>
      <x:c r="G26" s="39" t="n">
        <x:v>3</x:v>
      </x:c>
      <x:c r="H26" s="39" t="n">
        <x:v>180000</x:v>
      </x:c>
      <x:c r="I26" s="39" t="n">
        <x:v>540000</x:v>
      </x:c>
      <x:c r="J26" s="39" t="n">
        <x:f>G26*H26</x:f>
        <x:v>540000</x:v>
      </x:c>
      <x:c r="K26" s="33" t="str">
        <x:f>IF(I26=J26,"일치","불일치")</x:f>
        <x:v>일치</x:v>
      </x:c>
      <x:c r="L26" s="33" t="str">
        <x:v>레이저장비 부품</x:v>
      </x:c>
      <x:c r="M26" s="34" t="str">
        <x:v>p.1 발주내용 품목표</x:v>
      </x:c>
    </x:row>
    <x:row r="27" ht="24" customHeight="1">
      <x:c r="A27" s="32" t="str">
        <x:v>PO-006</x:v>
      </x:c>
      <x:c r="B27" s="33" t="str">
        <x:v>발주서_6.pdf</x:v>
      </x:c>
      <x:c r="C27" s="33" t="n">
        <x:v>3</x:v>
      </x:c>
      <x:c r="D27" s="33" t="str">
        <x:v>LR-CORE2</x:v>
      </x:c>
      <x:c r="E27" s="33" t="str">
        <x:v>-</x:v>
      </x:c>
      <x:c r="F27" s="33" t="str">
        <x:v>EA</x:v>
      </x:c>
      <x:c r="G27" s="39" t="n">
        <x:v>14</x:v>
      </x:c>
      <x:c r="H27" s="39" t="n">
        <x:v>4800000</x:v>
      </x:c>
      <x:c r="I27" s="39" t="n">
        <x:v>67200000</x:v>
      </x:c>
      <x:c r="J27" s="39" t="n">
        <x:f>G27*H27</x:f>
        <x:v>67200000</x:v>
      </x:c>
      <x:c r="K27" s="33" t="str">
        <x:f>IF(I27=J27,"일치","불일치")</x:f>
        <x:v>일치</x:v>
      </x:c>
      <x:c r="L27" s="33" t="str">
        <x:v>레이저장비 액세서리</x:v>
      </x:c>
      <x:c r="M27" s="34" t="str">
        <x:v>p.1 발주내용 품목표</x:v>
      </x:c>
    </x:row>
    <x:row r="28" ht="24" customHeight="1">
      <x:c r="A28" s="32" t="str">
        <x:v>PO-006</x:v>
      </x:c>
      <x:c r="B28" s="33" t="str">
        <x:v>발주서_6.pdf</x:v>
      </x:c>
      <x:c r="C28" s="33" t="n">
        <x:v>4</x:v>
      </x:c>
      <x:c r="D28" s="33" t="str">
        <x:v>LP200</x:v>
      </x:c>
      <x:c r="E28" s="33" t="str">
        <x:v>-</x:v>
      </x:c>
      <x:c r="F28" s="33" t="str">
        <x:v>EA</x:v>
      </x:c>
      <x:c r="G28" s="39" t="n">
        <x:v>8</x:v>
      </x:c>
      <x:c r="H28" s="39" t="n">
        <x:v>240000</x:v>
      </x:c>
      <x:c r="I28" s="39" t="n">
        <x:v>1920000</x:v>
      </x:c>
      <x:c r="J28" s="39" t="n">
        <x:f>G28*H28</x:f>
        <x:v>1920000</x:v>
      </x:c>
      <x:c r="K28" s="33" t="str">
        <x:f>IF(I28=J28,"일치","불일치")</x:f>
        <x:v>일치</x:v>
      </x:c>
      <x:c r="L28" s="33" t="str">
        <x:v>레이저장비 부품</x:v>
      </x:c>
      <x:c r="M28" s="34" t="str">
        <x:v>p.1 발주내용 품목표</x:v>
      </x:c>
    </x:row>
    <x:row r="29" ht="24" customHeight="1">
      <x:c r="A29" s="32" t="str">
        <x:v>PO-007</x:v>
      </x:c>
      <x:c r="B29" s="33" t="str">
        <x:v>발주서_7.pdf</x:v>
      </x:c>
      <x:c r="C29" s="33" t="n">
        <x:v>1</x:v>
      </x:c>
      <x:c r="D29" s="33" t="str">
        <x:v>LR-CORE3</x:v>
      </x:c>
      <x:c r="E29" s="33" t="str">
        <x:v>-</x:v>
      </x:c>
      <x:c r="F29" s="33" t="str">
        <x:v>EA</x:v>
      </x:c>
      <x:c r="G29" s="39" t="n">
        <x:v>2</x:v>
      </x:c>
      <x:c r="H29" s="39" t="n">
        <x:v>60000</x:v>
      </x:c>
      <x:c r="I29" s="39" t="n">
        <x:v>120000</x:v>
      </x:c>
      <x:c r="J29" s="39" t="n">
        <x:f>G29*H29</x:f>
        <x:v>120000</x:v>
      </x:c>
      <x:c r="K29" s="33" t="str">
        <x:f>IF(I29=J29,"일치","불일치")</x:f>
        <x:v>일치</x:v>
      </x:c>
      <x:c r="L29" s="33" t="str">
        <x:v>레이저장비 액세서리</x:v>
      </x:c>
      <x:c r="M29" s="34" t="str">
        <x:v>p.1 발주내용 품목표</x:v>
      </x:c>
    </x:row>
    <x:row r="30" ht="24" customHeight="1">
      <x:c r="A30" s="32" t="str">
        <x:v>PO-007</x:v>
      </x:c>
      <x:c r="B30" s="33" t="str">
        <x:v>발주서_7.pdf</x:v>
      </x:c>
      <x:c r="C30" s="33" t="n">
        <x:v>2</x:v>
      </x:c>
      <x:c r="D30" s="33" t="str">
        <x:v>LR-CORE2</x:v>
      </x:c>
      <x:c r="E30" s="33" t="str">
        <x:v>-</x:v>
      </x:c>
      <x:c r="F30" s="33" t="str">
        <x:v>EA</x:v>
      </x:c>
      <x:c r="G30" s="39" t="n">
        <x:v>8</x:v>
      </x:c>
      <x:c r="H30" s="39" t="n">
        <x:v>4800000</x:v>
      </x:c>
      <x:c r="I30" s="39" t="n">
        <x:v>38400000</x:v>
      </x:c>
      <x:c r="J30" s="39" t="n">
        <x:f>G30*H30</x:f>
        <x:v>38400000</x:v>
      </x:c>
      <x:c r="K30" s="33" t="str">
        <x:f>IF(I30=J30,"일치","불일치")</x:f>
        <x:v>일치</x:v>
      </x:c>
      <x:c r="L30" s="33" t="str">
        <x:v>레이저장비 액세서리</x:v>
      </x:c>
      <x:c r="M30" s="34" t="str">
        <x:v>p.1 발주내용 품목표</x:v>
      </x:c>
    </x:row>
    <x:row r="31" ht="24" customHeight="1">
      <x:c r="A31" s="32" t="str">
        <x:v>PO-007</x:v>
      </x:c>
      <x:c r="B31" s="33" t="str">
        <x:v>발주서_7.pdf</x:v>
      </x:c>
      <x:c r="C31" s="33" t="n">
        <x:v>3</x:v>
      </x:c>
      <x:c r="D31" s="33" t="str">
        <x:v>LP1000</x:v>
      </x:c>
      <x:c r="E31" s="33" t="str">
        <x:v>-</x:v>
      </x:c>
      <x:c r="F31" s="33" t="str">
        <x:v>EA</x:v>
      </x:c>
      <x:c r="G31" s="39" t="n">
        <x:v>15</x:v>
      </x:c>
      <x:c r="H31" s="39" t="n">
        <x:v>130000</x:v>
      </x:c>
      <x:c r="I31" s="39" t="n">
        <x:v>1950000</x:v>
      </x:c>
      <x:c r="J31" s="39" t="n">
        <x:f>G31*H31</x:f>
        <x:v>1950000</x:v>
      </x:c>
      <x:c r="K31" s="33" t="str">
        <x:f>IF(I31=J31,"일치","불일치")</x:f>
        <x:v>일치</x:v>
      </x:c>
      <x:c r="L31" s="33" t="str">
        <x:v>레이저장비 프로브</x:v>
      </x:c>
      <x:c r="M31" s="34" t="str">
        <x:v>p.1 발주내용 품목표</x:v>
      </x:c>
    </x:row>
    <x:row r="32" ht="24" customHeight="1">
      <x:c r="A32" s="32" t="str">
        <x:v>PO-007</x:v>
      </x:c>
      <x:c r="B32" s="33" t="str">
        <x:v>발주서_7.pdf</x:v>
      </x:c>
      <x:c r="C32" s="33" t="n">
        <x:v>4</x:v>
      </x:c>
      <x:c r="D32" s="33" t="str">
        <x:v>LR-PRO</x:v>
      </x:c>
      <x:c r="E32" s="33" t="str">
        <x:v>-</x:v>
      </x:c>
      <x:c r="F32" s="33" t="str">
        <x:v>EA</x:v>
      </x:c>
      <x:c r="G32" s="39" t="n">
        <x:v>10</x:v>
      </x:c>
      <x:c r="H32" s="39" t="n">
        <x:v>6000000</x:v>
      </x:c>
      <x:c r="I32" s="39" t="n">
        <x:v>60000000</x:v>
      </x:c>
      <x:c r="J32" s="39" t="n">
        <x:f>G32*H32</x:f>
        <x:v>60000000</x:v>
      </x:c>
      <x:c r="K32" s="33" t="str">
        <x:f>IF(I32=J32,"일치","불일치")</x:f>
        <x:v>일치</x:v>
      </x:c>
      <x:c r="L32" s="33" t="str">
        <x:v>레이저장비 시스템</x:v>
      </x:c>
      <x:c r="M32" s="34" t="str">
        <x:v>p.1 발주내용 품목표</x:v>
      </x:c>
    </x:row>
    <x:row r="33" ht="24" customHeight="1">
      <x:c r="A33" s="32" t="str">
        <x:v>PO-008</x:v>
      </x:c>
      <x:c r="B33" s="33" t="str">
        <x:v>발주서_8.pdf</x:v>
      </x:c>
      <x:c r="C33" s="33" t="n">
        <x:v>1</x:v>
      </x:c>
      <x:c r="D33" s="33" t="str">
        <x:v>LR-CORE3</x:v>
      </x:c>
      <x:c r="E33" s="33" t="str">
        <x:v>-</x:v>
      </x:c>
      <x:c r="F33" s="33" t="str">
        <x:v>EA</x:v>
      </x:c>
      <x:c r="G33" s="39" t="n">
        <x:v>8</x:v>
      </x:c>
      <x:c r="H33" s="39" t="n">
        <x:v>60000</x:v>
      </x:c>
      <x:c r="I33" s="39" t="n">
        <x:v>480000</x:v>
      </x:c>
      <x:c r="J33" s="39" t="n">
        <x:f>G33*H33</x:f>
        <x:v>480000</x:v>
      </x:c>
      <x:c r="K33" s="33" t="str">
        <x:f>IF(I33=J33,"일치","불일치")</x:f>
        <x:v>일치</x:v>
      </x:c>
      <x:c r="L33" s="33" t="str">
        <x:v>레이저장비 액세서리</x:v>
      </x:c>
      <x:c r="M33" s="34" t="str">
        <x:v>p.1 발주내용 품목표</x:v>
      </x:c>
    </x:row>
    <x:row r="34" ht="24" customHeight="1">
      <x:c r="A34" s="32" t="str">
        <x:v>PO-008</x:v>
      </x:c>
      <x:c r="B34" s="33" t="str">
        <x:v>발주서_8.pdf</x:v>
      </x:c>
      <x:c r="C34" s="33" t="n">
        <x:v>2</x:v>
      </x:c>
      <x:c r="D34" s="33" t="str">
        <x:v>LP200</x:v>
      </x:c>
      <x:c r="E34" s="33" t="str">
        <x:v>-</x:v>
      </x:c>
      <x:c r="F34" s="33" t="str">
        <x:v>EA</x:v>
      </x:c>
      <x:c r="G34" s="39" t="n">
        <x:v>8</x:v>
      </x:c>
      <x:c r="H34" s="39" t="n">
        <x:v>240000</x:v>
      </x:c>
      <x:c r="I34" s="39" t="n">
        <x:v>1920000</x:v>
      </x:c>
      <x:c r="J34" s="39" t="n">
        <x:f>G34*H34</x:f>
        <x:v>1920000</x:v>
      </x:c>
      <x:c r="K34" s="33" t="str">
        <x:f>IF(I34=J34,"일치","불일치")</x:f>
        <x:v>일치</x:v>
      </x:c>
      <x:c r="L34" s="33" t="str">
        <x:v>레이저장비 부품</x:v>
      </x:c>
      <x:c r="M34" s="34" t="str">
        <x:v>p.1 발주내용 품목표</x:v>
      </x:c>
    </x:row>
    <x:row r="35" ht="24" customHeight="1">
      <x:c r="A35" s="32" t="str">
        <x:v>PO-008</x:v>
      </x:c>
      <x:c r="B35" s="33" t="str">
        <x:v>발주서_8.pdf</x:v>
      </x:c>
      <x:c r="C35" s="33" t="n">
        <x:v>3</x:v>
      </x:c>
      <x:c r="D35" s="33" t="str">
        <x:v>LP2000</x:v>
      </x:c>
      <x:c r="E35" s="33" t="str">
        <x:v>-</x:v>
      </x:c>
      <x:c r="F35" s="33" t="str">
        <x:v>EA</x:v>
      </x:c>
      <x:c r="G35" s="39" t="n">
        <x:v>6</x:v>
      </x:c>
      <x:c r="H35" s="39" t="n">
        <x:v>175000</x:v>
      </x:c>
      <x:c r="I35" s="39" t="n">
        <x:v>1050000</x:v>
      </x:c>
      <x:c r="J35" s="39" t="n">
        <x:f>G35*H35</x:f>
        <x:v>1050000</x:v>
      </x:c>
      <x:c r="K35" s="33" t="str">
        <x:f>IF(I35=J35,"일치","불일치")</x:f>
        <x:v>일치</x:v>
      </x:c>
      <x:c r="L35" s="33" t="str">
        <x:v>레이저장비 프로브</x:v>
      </x:c>
      <x:c r="M35" s="34" t="str">
        <x:v>p.1 발주내용 품목표</x:v>
      </x:c>
    </x:row>
    <x:row r="36" ht="24" customHeight="1">
      <x:c r="A36" s="32" t="str">
        <x:v>PO-008</x:v>
      </x:c>
      <x:c r="B36" s="33" t="str">
        <x:v>발주서_8.pdf</x:v>
      </x:c>
      <x:c r="C36" s="33" t="n">
        <x:v>4</x:v>
      </x:c>
      <x:c r="D36" s="33" t="str">
        <x:v>LP100</x:v>
      </x:c>
      <x:c r="E36" s="33" t="str">
        <x:v>-</x:v>
      </x:c>
      <x:c r="F36" s="33" t="str">
        <x:v>EA</x:v>
      </x:c>
      <x:c r="G36" s="39" t="n">
        <x:v>2</x:v>
      </x:c>
      <x:c r="H36" s="39" t="n">
        <x:v>180000</x:v>
      </x:c>
      <x:c r="I36" s="39" t="n">
        <x:v>360000</x:v>
      </x:c>
      <x:c r="J36" s="39" t="n">
        <x:f>G36*H36</x:f>
        <x:v>360000</x:v>
      </x:c>
      <x:c r="K36" s="33" t="str">
        <x:f>IF(I36=J36,"일치","불일치")</x:f>
        <x:v>일치</x:v>
      </x:c>
      <x:c r="L36" s="33" t="str">
        <x:v>레이저장비 부품</x:v>
      </x:c>
      <x:c r="M36" s="34" t="str">
        <x:v>p.1 발주내용 품목표</x:v>
      </x:c>
    </x:row>
    <x:row r="37" ht="24" customHeight="1">
      <x:c r="A37" s="32" t="str">
        <x:v>PO-009</x:v>
      </x:c>
      <x:c r="B37" s="33" t="str">
        <x:v>발주서_9.pdf</x:v>
      </x:c>
      <x:c r="C37" s="33" t="n">
        <x:v>1</x:v>
      </x:c>
      <x:c r="D37" s="33" t="str">
        <x:v>LR2000</x:v>
      </x:c>
      <x:c r="E37" s="33" t="str">
        <x:v>-</x:v>
      </x:c>
      <x:c r="F37" s="33" t="str">
        <x:v>EA</x:v>
      </x:c>
      <x:c r="G37" s="39" t="n">
        <x:v>6</x:v>
      </x:c>
      <x:c r="H37" s="39" t="n">
        <x:v>5200000</x:v>
      </x:c>
      <x:c r="I37" s="39" t="n">
        <x:v>31200000</x:v>
      </x:c>
      <x:c r="J37" s="39" t="n">
        <x:f>G37*H37</x:f>
        <x:v>31200000</x:v>
      </x:c>
      <x:c r="K37" s="33" t="str">
        <x:f>IF(I37=J37,"일치","불일치")</x:f>
        <x:v>일치</x:v>
      </x:c>
      <x:c r="L37" s="33" t="str">
        <x:v>레이저장비 시스템</x:v>
      </x:c>
      <x:c r="M37" s="34" t="str">
        <x:v>p.1 발주내용 품목표</x:v>
      </x:c>
    </x:row>
    <x:row r="38" ht="24" customHeight="1">
      <x:c r="A38" s="32" t="str">
        <x:v>PO-009</x:v>
      </x:c>
      <x:c r="B38" s="33" t="str">
        <x:v>발주서_9.pdf</x:v>
      </x:c>
      <x:c r="C38" s="33" t="n">
        <x:v>2</x:v>
      </x:c>
      <x:c r="D38" s="33" t="str">
        <x:v>LP2000</x:v>
      </x:c>
      <x:c r="E38" s="33" t="str">
        <x:v>-</x:v>
      </x:c>
      <x:c r="F38" s="33" t="str">
        <x:v>EA</x:v>
      </x:c>
      <x:c r="G38" s="39" t="n">
        <x:v>10</x:v>
      </x:c>
      <x:c r="H38" s="39" t="n">
        <x:v>175000</x:v>
      </x:c>
      <x:c r="I38" s="39" t="n">
        <x:v>1750000</x:v>
      </x:c>
      <x:c r="J38" s="39" t="n">
        <x:f>G38*H38</x:f>
        <x:v>1750000</x:v>
      </x:c>
      <x:c r="K38" s="33" t="str">
        <x:f>IF(I38=J38,"일치","불일치")</x:f>
        <x:v>일치</x:v>
      </x:c>
      <x:c r="L38" s="33" t="str">
        <x:v>레이저장비 프로브</x:v>
      </x:c>
      <x:c r="M38" s="34" t="str">
        <x:v>p.1 발주내용 품목표</x:v>
      </x:c>
    </x:row>
    <x:row r="39" ht="24" customHeight="1">
      <x:c r="A39" s="32" t="str">
        <x:v>PO-009</x:v>
      </x:c>
      <x:c r="B39" s="33" t="str">
        <x:v>발주서_9.pdf</x:v>
      </x:c>
      <x:c r="C39" s="33" t="n">
        <x:v>3</x:v>
      </x:c>
      <x:c r="D39" s="33" t="str">
        <x:v>LP1500</x:v>
      </x:c>
      <x:c r="E39" s="33" t="str">
        <x:v>-</x:v>
      </x:c>
      <x:c r="F39" s="33" t="str">
        <x:v>EA</x:v>
      </x:c>
      <x:c r="G39" s="39" t="n">
        <x:v>7</x:v>
      </x:c>
      <x:c r="H39" s="39" t="n">
        <x:v>145000</x:v>
      </x:c>
      <x:c r="I39" s="39" t="n">
        <x:v>1015000</x:v>
      </x:c>
      <x:c r="J39" s="39" t="n">
        <x:f>G39*H39</x:f>
        <x:v>1015000</x:v>
      </x:c>
      <x:c r="K39" s="33" t="str">
        <x:f>IF(I39=J39,"일치","불일치")</x:f>
        <x:v>일치</x:v>
      </x:c>
      <x:c r="L39" s="33" t="str">
        <x:v>레이저장비 프로브</x:v>
      </x:c>
      <x:c r="M39" s="34" t="str">
        <x:v>p.1 발주내용 품목표</x:v>
      </x:c>
    </x:row>
    <x:row r="40" ht="24" customHeight="1">
      <x:c r="A40" s="32" t="str">
        <x:v>PO-009</x:v>
      </x:c>
      <x:c r="B40" s="33" t="str">
        <x:v>발주서_9.pdf</x:v>
      </x:c>
      <x:c r="C40" s="33" t="n">
        <x:v>4</x:v>
      </x:c>
      <x:c r="D40" s="33" t="str">
        <x:v>LR-CORE2</x:v>
      </x:c>
      <x:c r="E40" s="33" t="str">
        <x:v>-</x:v>
      </x:c>
      <x:c r="F40" s="33" t="str">
        <x:v>EA</x:v>
      </x:c>
      <x:c r="G40" s="39" t="n">
        <x:v>7</x:v>
      </x:c>
      <x:c r="H40" s="39" t="n">
        <x:v>4800000</x:v>
      </x:c>
      <x:c r="I40" s="39" t="n">
        <x:v>33600000</x:v>
      </x:c>
      <x:c r="J40" s="39" t="n">
        <x:f>G40*H40</x:f>
        <x:v>33600000</x:v>
      </x:c>
      <x:c r="K40" s="33" t="str">
        <x:f>IF(I40=J40,"일치","불일치")</x:f>
        <x:v>일치</x:v>
      </x:c>
      <x:c r="L40" s="33" t="str">
        <x:v>레이저장비 액세서리</x:v>
      </x:c>
      <x:c r="M40" s="34" t="str">
        <x:v>p.1 발주내용 품목표</x:v>
      </x:c>
    </x:row>
    <x:row r="41" ht="24" customHeight="1">
      <x:c r="A41" s="32" t="str">
        <x:v>PO-010</x:v>
      </x:c>
      <x:c r="B41" s="33" t="str">
        <x:v>발주서_10.pdf</x:v>
      </x:c>
      <x:c r="C41" s="33" t="n">
        <x:v>1</x:v>
      </x:c>
      <x:c r="D41" s="33" t="str">
        <x:v>LR-CORE2</x:v>
      </x:c>
      <x:c r="E41" s="33" t="str">
        <x:v>-</x:v>
      </x:c>
      <x:c r="F41" s="33" t="str">
        <x:v>EA</x:v>
      </x:c>
      <x:c r="G41" s="39" t="n">
        <x:v>7</x:v>
      </x:c>
      <x:c r="H41" s="39" t="n">
        <x:v>4800000</x:v>
      </x:c>
      <x:c r="I41" s="39" t="n">
        <x:v>33600000</x:v>
      </x:c>
      <x:c r="J41" s="39" t="n">
        <x:f>G41*H41</x:f>
        <x:v>33600000</x:v>
      </x:c>
      <x:c r="K41" s="33" t="str">
        <x:f>IF(I41=J41,"일치","불일치")</x:f>
        <x:v>일치</x:v>
      </x:c>
      <x:c r="L41" s="33" t="str">
        <x:v>레이저장비 액세서리</x:v>
      </x:c>
      <x:c r="M41" s="34" t="str">
        <x:v>p.1 발주내용 품목표</x:v>
      </x:c>
    </x:row>
    <x:row r="42" ht="24" customHeight="1">
      <x:c r="A42" s="32" t="str">
        <x:v>PO-010</x:v>
      </x:c>
      <x:c r="B42" s="33" t="str">
        <x:v>발주서_10.pdf</x:v>
      </x:c>
      <x:c r="C42" s="33" t="n">
        <x:v>2</x:v>
      </x:c>
      <x:c r="D42" s="33" t="str">
        <x:v>LR-CORE3</x:v>
      </x:c>
      <x:c r="E42" s="33" t="str">
        <x:v>-</x:v>
      </x:c>
      <x:c r="F42" s="33" t="str">
        <x:v>EA</x:v>
      </x:c>
      <x:c r="G42" s="39" t="n">
        <x:v>4</x:v>
      </x:c>
      <x:c r="H42" s="39" t="n">
        <x:v>60000</x:v>
      </x:c>
      <x:c r="I42" s="39" t="n">
        <x:v>240000</x:v>
      </x:c>
      <x:c r="J42" s="39" t="n">
        <x:f>G42*H42</x:f>
        <x:v>240000</x:v>
      </x:c>
      <x:c r="K42" s="33" t="str">
        <x:f>IF(I42=J42,"일치","불일치")</x:f>
        <x:v>일치</x:v>
      </x:c>
      <x:c r="L42" s="33" t="str">
        <x:v>레이저장비 액세서리</x:v>
      </x:c>
      <x:c r="M42" s="34" t="str">
        <x:v>p.1 발주내용 품목표</x:v>
      </x:c>
    </x:row>
    <x:row r="43" ht="24" customHeight="1">
      <x:c r="A43" s="32" t="str">
        <x:v>PO-010</x:v>
      </x:c>
      <x:c r="B43" s="33" t="str">
        <x:v>발주서_10.pdf</x:v>
      </x:c>
      <x:c r="C43" s="33" t="n">
        <x:v>3</x:v>
      </x:c>
      <x:c r="D43" s="33" t="str">
        <x:v>LP100</x:v>
      </x:c>
      <x:c r="E43" s="33" t="str">
        <x:v>-</x:v>
      </x:c>
      <x:c r="F43" s="33" t="str">
        <x:v>EA</x:v>
      </x:c>
      <x:c r="G43" s="39" t="n">
        <x:v>5</x:v>
      </x:c>
      <x:c r="H43" s="39" t="n">
        <x:v>180000</x:v>
      </x:c>
      <x:c r="I43" s="39" t="n">
        <x:v>900000</x:v>
      </x:c>
      <x:c r="J43" s="39" t="n">
        <x:f>G43*H43</x:f>
        <x:v>900000</x:v>
      </x:c>
      <x:c r="K43" s="33" t="str">
        <x:f>IF(I43=J43,"일치","불일치")</x:f>
        <x:v>일치</x:v>
      </x:c>
      <x:c r="L43" s="33" t="str">
        <x:v>레이저장비 부품</x:v>
      </x:c>
      <x:c r="M43" s="34" t="str">
        <x:v>p.1 발주내용 품목표</x:v>
      </x:c>
    </x:row>
    <x:row r="44" ht="24" customHeight="1">
      <x:c r="A44" s="32" t="str">
        <x:v>PO-010</x:v>
      </x:c>
      <x:c r="B44" s="33" t="str">
        <x:v>발주서_10.pdf</x:v>
      </x:c>
      <x:c r="C44" s="33" t="n">
        <x:v>4</x:v>
      </x:c>
      <x:c r="D44" s="33" t="str">
        <x:v>LP1000</x:v>
      </x:c>
      <x:c r="E44" s="33" t="str">
        <x:v>-</x:v>
      </x:c>
      <x:c r="F44" s="33" t="str">
        <x:v>EA</x:v>
      </x:c>
      <x:c r="G44" s="39" t="n">
        <x:v>8</x:v>
      </x:c>
      <x:c r="H44" s="39" t="n">
        <x:v>130000</x:v>
      </x:c>
      <x:c r="I44" s="39" t="n">
        <x:v>1040000</x:v>
      </x:c>
      <x:c r="J44" s="39" t="n">
        <x:f>G44*H44</x:f>
        <x:v>1040000</x:v>
      </x:c>
      <x:c r="K44" s="33" t="str">
        <x:f>IF(I44=J44,"일치","불일치")</x:f>
        <x:v>일치</x:v>
      </x:c>
      <x:c r="L44" s="33" t="str">
        <x:v>레이저장비 프로브</x:v>
      </x:c>
      <x:c r="M44" s="34" t="str">
        <x:v>p.1 발주내용 품목표</x:v>
      </x:c>
    </x:row>
    <x:row r="45" ht="24" customHeight="1">
      <x:c r="A45" s="32" t="str">
        <x:v>PO-011</x:v>
      </x:c>
      <x:c r="B45" s="33" t="str">
        <x:v>발주서_11.pdf</x:v>
      </x:c>
      <x:c r="C45" s="33" t="n">
        <x:v>1</x:v>
      </x:c>
      <x:c r="D45" s="33" t="str">
        <x:v>LR-CORE2</x:v>
      </x:c>
      <x:c r="E45" s="33" t="str">
        <x:v>-</x:v>
      </x:c>
      <x:c r="F45" s="33" t="str">
        <x:v>EA</x:v>
      </x:c>
      <x:c r="G45" s="39" t="n">
        <x:v>10</x:v>
      </x:c>
      <x:c r="H45" s="39" t="n">
        <x:v>4800000</x:v>
      </x:c>
      <x:c r="I45" s="39" t="n">
        <x:v>48000000</x:v>
      </x:c>
      <x:c r="J45" s="39" t="n">
        <x:f>G45*H45</x:f>
        <x:v>48000000</x:v>
      </x:c>
      <x:c r="K45" s="33" t="str">
        <x:f>IF(I45=J45,"일치","불일치")</x:f>
        <x:v>일치</x:v>
      </x:c>
      <x:c r="L45" s="33" t="str">
        <x:v>레이저장비 액세서리</x:v>
      </x:c>
      <x:c r="M45" s="34" t="str">
        <x:v>p.1 발주내용 품목표</x:v>
      </x:c>
    </x:row>
    <x:row r="46" ht="24" customHeight="1">
      <x:c r="A46" s="32" t="str">
        <x:v>PO-011</x:v>
      </x:c>
      <x:c r="B46" s="33" t="str">
        <x:v>발주서_11.pdf</x:v>
      </x:c>
      <x:c r="C46" s="33" t="n">
        <x:v>2</x:v>
      </x:c>
      <x:c r="D46" s="33" t="str">
        <x:v>LR-PRO</x:v>
      </x:c>
      <x:c r="E46" s="33" t="str">
        <x:v>-</x:v>
      </x:c>
      <x:c r="F46" s="33" t="str">
        <x:v>EA</x:v>
      </x:c>
      <x:c r="G46" s="39" t="n">
        <x:v>13</x:v>
      </x:c>
      <x:c r="H46" s="39" t="n">
        <x:v>6000000</x:v>
      </x:c>
      <x:c r="I46" s="39" t="n">
        <x:v>78000000</x:v>
      </x:c>
      <x:c r="J46" s="39" t="n">
        <x:f>G46*H46</x:f>
        <x:v>78000000</x:v>
      </x:c>
      <x:c r="K46" s="33" t="str">
        <x:f>IF(I46=J46,"일치","불일치")</x:f>
        <x:v>일치</x:v>
      </x:c>
      <x:c r="L46" s="33" t="str">
        <x:v>레이저장비 시스템</x:v>
      </x:c>
      <x:c r="M46" s="34" t="str">
        <x:v>p.1 발주내용 품목표</x:v>
      </x:c>
    </x:row>
    <x:row r="47" ht="24" customHeight="1">
      <x:c r="A47" s="32" t="str">
        <x:v>PO-011</x:v>
      </x:c>
      <x:c r="B47" s="33" t="str">
        <x:v>발주서_11.pdf</x:v>
      </x:c>
      <x:c r="C47" s="33" t="n">
        <x:v>3</x:v>
      </x:c>
      <x:c r="D47" s="33" t="str">
        <x:v>LR1000</x:v>
      </x:c>
      <x:c r="E47" s="33" t="str">
        <x:v>-</x:v>
      </x:c>
      <x:c r="F47" s="33" t="str">
        <x:v>EA</x:v>
      </x:c>
      <x:c r="G47" s="39" t="n">
        <x:v>5</x:v>
      </x:c>
      <x:c r="H47" s="39" t="n">
        <x:v>4500000</x:v>
      </x:c>
      <x:c r="I47" s="39" t="n">
        <x:v>22500000</x:v>
      </x:c>
      <x:c r="J47" s="39" t="n">
        <x:f>G47*H47</x:f>
        <x:v>22500000</x:v>
      </x:c>
      <x:c r="K47" s="33" t="str">
        <x:f>IF(I47=J47,"일치","불일치")</x:f>
        <x:v>일치</x:v>
      </x:c>
      <x:c r="L47" s="33" t="str">
        <x:v>레이저장비 시스템</x:v>
      </x:c>
      <x:c r="M47" s="34" t="str">
        <x:v>p.1 발주내용 품목표</x:v>
      </x:c>
    </x:row>
    <x:row r="48" ht="24" customHeight="1">
      <x:c r="A48" s="32" t="str">
        <x:v>PO-011</x:v>
      </x:c>
      <x:c r="B48" s="33" t="str">
        <x:v>발주서_11.pdf</x:v>
      </x:c>
      <x:c r="C48" s="33" t="n">
        <x:v>4</x:v>
      </x:c>
      <x:c r="D48" s="33" t="str">
        <x:v>LR2000</x:v>
      </x:c>
      <x:c r="E48" s="33" t="str">
        <x:v>-</x:v>
      </x:c>
      <x:c r="F48" s="33" t="str">
        <x:v>EA</x:v>
      </x:c>
      <x:c r="G48" s="39" t="n">
        <x:v>8</x:v>
      </x:c>
      <x:c r="H48" s="39" t="n">
        <x:v>5200000</x:v>
      </x:c>
      <x:c r="I48" s="39" t="n">
        <x:v>41600000</x:v>
      </x:c>
      <x:c r="J48" s="39" t="n">
        <x:f>G48*H48</x:f>
        <x:v>41600000</x:v>
      </x:c>
      <x:c r="K48" s="33" t="str">
        <x:f>IF(I48=J48,"일치","불일치")</x:f>
        <x:v>일치</x:v>
      </x:c>
      <x:c r="L48" s="33" t="str">
        <x:v>레이저장비 시스템</x:v>
      </x:c>
      <x:c r="M48" s="34" t="str">
        <x:v>p.1 발주내용 품목표</x:v>
      </x:c>
    </x:row>
    <x:row r="49" ht="24" customHeight="1">
      <x:c r="A49" s="32" t="str">
        <x:v>PO-012</x:v>
      </x:c>
      <x:c r="B49" s="33" t="str">
        <x:v>발주서_12.pdf</x:v>
      </x:c>
      <x:c r="C49" s="33" t="n">
        <x:v>1</x:v>
      </x:c>
      <x:c r="D49" s="33" t="str">
        <x:v>LP1500</x:v>
      </x:c>
      <x:c r="E49" s="33" t="str">
        <x:v>-</x:v>
      </x:c>
      <x:c r="F49" s="33" t="str">
        <x:v>EA</x:v>
      </x:c>
      <x:c r="G49" s="39" t="n">
        <x:v>6</x:v>
      </x:c>
      <x:c r="H49" s="39" t="n">
        <x:v>145000</x:v>
      </x:c>
      <x:c r="I49" s="39" t="n">
        <x:v>870000</x:v>
      </x:c>
      <x:c r="J49" s="39" t="n">
        <x:f>G49*H49</x:f>
        <x:v>870000</x:v>
      </x:c>
      <x:c r="K49" s="33" t="str">
        <x:f>IF(I49=J49,"일치","불일치")</x:f>
        <x:v>일치</x:v>
      </x:c>
      <x:c r="L49" s="33" t="str">
        <x:v>레이저장비 프로브</x:v>
      </x:c>
      <x:c r="M49" s="34" t="str">
        <x:v>p.1 발주내용 품목표</x:v>
      </x:c>
    </x:row>
    <x:row r="50" ht="24" customHeight="1">
      <x:c r="A50" s="32" t="str">
        <x:v>PO-012</x:v>
      </x:c>
      <x:c r="B50" s="33" t="str">
        <x:v>발주서_12.pdf</x:v>
      </x:c>
      <x:c r="C50" s="33" t="n">
        <x:v>2</x:v>
      </x:c>
      <x:c r="D50" s="33" t="str">
        <x:v>LP100</x:v>
      </x:c>
      <x:c r="E50" s="33" t="str">
        <x:v>-</x:v>
      </x:c>
      <x:c r="F50" s="33" t="str">
        <x:v>EA</x:v>
      </x:c>
      <x:c r="G50" s="39" t="n">
        <x:v>8</x:v>
      </x:c>
      <x:c r="H50" s="39" t="n">
        <x:v>180000</x:v>
      </x:c>
      <x:c r="I50" s="39" t="n">
        <x:v>1440000</x:v>
      </x:c>
      <x:c r="J50" s="39" t="n">
        <x:f>G50*H50</x:f>
        <x:v>1440000</x:v>
      </x:c>
      <x:c r="K50" s="33" t="str">
        <x:f>IF(I50=J50,"일치","불일치")</x:f>
        <x:v>일치</x:v>
      </x:c>
      <x:c r="L50" s="33" t="str">
        <x:v>레이저장비 부품</x:v>
      </x:c>
      <x:c r="M50" s="34" t="str">
        <x:v>p.1 발주내용 품목표</x:v>
      </x:c>
    </x:row>
    <x:row r="51" ht="24" customHeight="1">
      <x:c r="A51" s="32" t="str">
        <x:v>PO-012</x:v>
      </x:c>
      <x:c r="B51" s="33" t="str">
        <x:v>발주서_12.pdf</x:v>
      </x:c>
      <x:c r="C51" s="33" t="n">
        <x:v>3</x:v>
      </x:c>
      <x:c r="D51" s="33" t="str">
        <x:v>LP200</x:v>
      </x:c>
      <x:c r="E51" s="33" t="str">
        <x:v>-</x:v>
      </x:c>
      <x:c r="F51" s="33" t="str">
        <x:v>EA</x:v>
      </x:c>
      <x:c r="G51" s="39" t="n">
        <x:v>9</x:v>
      </x:c>
      <x:c r="H51" s="39" t="n">
        <x:v>240000</x:v>
      </x:c>
      <x:c r="I51" s="39" t="n">
        <x:v>2160000</x:v>
      </x:c>
      <x:c r="J51" s="39" t="n">
        <x:f>G51*H51</x:f>
        <x:v>2160000</x:v>
      </x:c>
      <x:c r="K51" s="33" t="str">
        <x:f>IF(I51=J51,"일치","불일치")</x:f>
        <x:v>일치</x:v>
      </x:c>
      <x:c r="L51" s="33" t="str">
        <x:v>레이저장비 부품</x:v>
      </x:c>
      <x:c r="M51" s="34" t="str">
        <x:v>p.1 발주내용 품목표</x:v>
      </x:c>
    </x:row>
    <x:row r="52" ht="24" customHeight="1">
      <x:c r="A52" s="32" t="str">
        <x:v>PO-012</x:v>
      </x:c>
      <x:c r="B52" s="33" t="str">
        <x:v>발주서_12.pdf</x:v>
      </x:c>
      <x:c r="C52" s="33" t="n">
        <x:v>4</x:v>
      </x:c>
      <x:c r="D52" s="33" t="str">
        <x:v>LP2000</x:v>
      </x:c>
      <x:c r="E52" s="33" t="str">
        <x:v>-</x:v>
      </x:c>
      <x:c r="F52" s="33" t="str">
        <x:v>EA</x:v>
      </x:c>
      <x:c r="G52" s="39" t="n">
        <x:v>2</x:v>
      </x:c>
      <x:c r="H52" s="39" t="n">
        <x:v>175000</x:v>
      </x:c>
      <x:c r="I52" s="39" t="n">
        <x:v>350000</x:v>
      </x:c>
      <x:c r="J52" s="39" t="n">
        <x:f>G52*H52</x:f>
        <x:v>350000</x:v>
      </x:c>
      <x:c r="K52" s="33" t="str">
        <x:f>IF(I52=J52,"일치","불일치")</x:f>
        <x:v>일치</x:v>
      </x:c>
      <x:c r="L52" s="33" t="str">
        <x:v>레이저장비 프로브</x:v>
      </x:c>
      <x:c r="M52" s="34" t="str">
        <x:v>p.1 발주내용 품목표</x:v>
      </x:c>
    </x:row>
    <x:row r="53" ht="24" customHeight="1">
      <x:c r="A53" s="32" t="str">
        <x:v>PO-013</x:v>
      </x:c>
      <x:c r="B53" s="33" t="str">
        <x:v>발주서_13.pdf</x:v>
      </x:c>
      <x:c r="C53" s="33" t="n">
        <x:v>1</x:v>
      </x:c>
      <x:c r="D53" s="33" t="str">
        <x:v>LR1000</x:v>
      </x:c>
      <x:c r="E53" s="33" t="str">
        <x:v>-</x:v>
      </x:c>
      <x:c r="F53" s="33" t="str">
        <x:v>EA</x:v>
      </x:c>
      <x:c r="G53" s="39" t="n">
        <x:v>14</x:v>
      </x:c>
      <x:c r="H53" s="39" t="n">
        <x:v>4500000</x:v>
      </x:c>
      <x:c r="I53" s="39" t="n">
        <x:v>63000000</x:v>
      </x:c>
      <x:c r="J53" s="39" t="n">
        <x:f>G53*H53</x:f>
        <x:v>63000000</x:v>
      </x:c>
      <x:c r="K53" s="33" t="str">
        <x:f>IF(I53=J53,"일치","불일치")</x:f>
        <x:v>일치</x:v>
      </x:c>
      <x:c r="L53" s="33" t="str">
        <x:v>레이저장비 시스템</x:v>
      </x:c>
      <x:c r="M53" s="34" t="str">
        <x:v>p.1 발주내용 품목표</x:v>
      </x:c>
    </x:row>
    <x:row r="54" ht="24" customHeight="1">
      <x:c r="A54" s="32" t="str">
        <x:v>PO-013</x:v>
      </x:c>
      <x:c r="B54" s="33" t="str">
        <x:v>발주서_13.pdf</x:v>
      </x:c>
      <x:c r="C54" s="33" t="n">
        <x:v>2</x:v>
      </x:c>
      <x:c r="D54" s="33" t="str">
        <x:v>LR-CORE3</x:v>
      </x:c>
      <x:c r="E54" s="33" t="str">
        <x:v>-</x:v>
      </x:c>
      <x:c r="F54" s="33" t="str">
        <x:v>EA</x:v>
      </x:c>
      <x:c r="G54" s="39" t="n">
        <x:v>4</x:v>
      </x:c>
      <x:c r="H54" s="39" t="n">
        <x:v>60000</x:v>
      </x:c>
      <x:c r="I54" s="39" t="n">
        <x:v>240000</x:v>
      </x:c>
      <x:c r="J54" s="39" t="n">
        <x:f>G54*H54</x:f>
        <x:v>240000</x:v>
      </x:c>
      <x:c r="K54" s="33" t="str">
        <x:f>IF(I54=J54,"일치","불일치")</x:f>
        <x:v>일치</x:v>
      </x:c>
      <x:c r="L54" s="33" t="str">
        <x:v>레이저장비 액세서리</x:v>
      </x:c>
      <x:c r="M54" s="34" t="str">
        <x:v>p.1 발주내용 품목표</x:v>
      </x:c>
    </x:row>
    <x:row r="55" ht="24" customHeight="1">
      <x:c r="A55" s="32" t="str">
        <x:v>PO-013</x:v>
      </x:c>
      <x:c r="B55" s="33" t="str">
        <x:v>발주서_13.pdf</x:v>
      </x:c>
      <x:c r="C55" s="33" t="n">
        <x:v>3</x:v>
      </x:c>
      <x:c r="D55" s="33" t="str">
        <x:v>LP100</x:v>
      </x:c>
      <x:c r="E55" s="33" t="str">
        <x:v>-</x:v>
      </x:c>
      <x:c r="F55" s="33" t="str">
        <x:v>EA</x:v>
      </x:c>
      <x:c r="G55" s="39" t="n">
        <x:v>15</x:v>
      </x:c>
      <x:c r="H55" s="39" t="n">
        <x:v>180000</x:v>
      </x:c>
      <x:c r="I55" s="39" t="n">
        <x:v>2700000</x:v>
      </x:c>
      <x:c r="J55" s="39" t="n">
        <x:f>G55*H55</x:f>
        <x:v>2700000</x:v>
      </x:c>
      <x:c r="K55" s="33" t="str">
        <x:f>IF(I55=J55,"일치","불일치")</x:f>
        <x:v>일치</x:v>
      </x:c>
      <x:c r="L55" s="33" t="str">
        <x:v>레이저장비 부품</x:v>
      </x:c>
      <x:c r="M55" s="34" t="str">
        <x:v>p.1 발주내용 품목표</x:v>
      </x:c>
    </x:row>
    <x:row r="56" ht="24" customHeight="1">
      <x:c r="A56" s="32" t="str">
        <x:v>PO-013</x:v>
      </x:c>
      <x:c r="B56" s="33" t="str">
        <x:v>발주서_13.pdf</x:v>
      </x:c>
      <x:c r="C56" s="33" t="n">
        <x:v>4</x:v>
      </x:c>
      <x:c r="D56" s="33" t="str">
        <x:v>LP2000</x:v>
      </x:c>
      <x:c r="E56" s="33" t="str">
        <x:v>-</x:v>
      </x:c>
      <x:c r="F56" s="33" t="str">
        <x:v>EA</x:v>
      </x:c>
      <x:c r="G56" s="39" t="n">
        <x:v>4</x:v>
      </x:c>
      <x:c r="H56" s="39" t="n">
        <x:v>175000</x:v>
      </x:c>
      <x:c r="I56" s="39" t="n">
        <x:v>700000</x:v>
      </x:c>
      <x:c r="J56" s="39" t="n">
        <x:f>G56*H56</x:f>
        <x:v>700000</x:v>
      </x:c>
      <x:c r="K56" s="33" t="str">
        <x:f>IF(I56=J56,"일치","불일치")</x:f>
        <x:v>일치</x:v>
      </x:c>
      <x:c r="L56" s="33" t="str">
        <x:v>레이저장비 프로브</x:v>
      </x:c>
      <x:c r="M56" s="34" t="str">
        <x:v>p.1 발주내용 품목표</x:v>
      </x:c>
    </x:row>
    <x:row r="57" ht="24" customHeight="1">
      <x:c r="A57" s="32" t="str">
        <x:v>PO-014</x:v>
      </x:c>
      <x:c r="B57" s="33" t="str">
        <x:v>발주서_14.pdf</x:v>
      </x:c>
      <x:c r="C57" s="33" t="n">
        <x:v>1</x:v>
      </x:c>
      <x:c r="D57" s="33" t="str">
        <x:v>LP2000</x:v>
      </x:c>
      <x:c r="E57" s="33" t="str">
        <x:v>-</x:v>
      </x:c>
      <x:c r="F57" s="33" t="str">
        <x:v>EA</x:v>
      </x:c>
      <x:c r="G57" s="39" t="n">
        <x:v>12</x:v>
      </x:c>
      <x:c r="H57" s="39" t="n">
        <x:v>175000</x:v>
      </x:c>
      <x:c r="I57" s="39" t="n">
        <x:v>2100000</x:v>
      </x:c>
      <x:c r="J57" s="39" t="n">
        <x:f>G57*H57</x:f>
        <x:v>2100000</x:v>
      </x:c>
      <x:c r="K57" s="33" t="str">
        <x:f>IF(I57=J57,"일치","불일치")</x:f>
        <x:v>일치</x:v>
      </x:c>
      <x:c r="L57" s="33" t="str">
        <x:v>레이저장비 프로브</x:v>
      </x:c>
      <x:c r="M57" s="34" t="str">
        <x:v>p.1 발주내용 품목표</x:v>
      </x:c>
    </x:row>
    <x:row r="58" ht="24" customHeight="1">
      <x:c r="A58" s="32" t="str">
        <x:v>PO-014</x:v>
      </x:c>
      <x:c r="B58" s="33" t="str">
        <x:v>발주서_14.pdf</x:v>
      </x:c>
      <x:c r="C58" s="33" t="n">
        <x:v>2</x:v>
      </x:c>
      <x:c r="D58" s="33" t="str">
        <x:v>LR-CORE2</x:v>
      </x:c>
      <x:c r="E58" s="33" t="str">
        <x:v>-</x:v>
      </x:c>
      <x:c r="F58" s="33" t="str">
        <x:v>EA</x:v>
      </x:c>
      <x:c r="G58" s="39" t="n">
        <x:v>6</x:v>
      </x:c>
      <x:c r="H58" s="39" t="n">
        <x:v>4800000</x:v>
      </x:c>
      <x:c r="I58" s="39" t="n">
        <x:v>28800000</x:v>
      </x:c>
      <x:c r="J58" s="39" t="n">
        <x:f>G58*H58</x:f>
        <x:v>28800000</x:v>
      </x:c>
      <x:c r="K58" s="33" t="str">
        <x:f>IF(I58=J58,"일치","불일치")</x:f>
        <x:v>일치</x:v>
      </x:c>
      <x:c r="L58" s="33" t="str">
        <x:v>레이저장비 액세서리</x:v>
      </x:c>
      <x:c r="M58" s="34" t="str">
        <x:v>p.1 발주내용 품목표</x:v>
      </x:c>
    </x:row>
    <x:row r="59" ht="24" customHeight="1">
      <x:c r="A59" s="32" t="str">
        <x:v>PO-014</x:v>
      </x:c>
      <x:c r="B59" s="33" t="str">
        <x:v>발주서_14.pdf</x:v>
      </x:c>
      <x:c r="C59" s="33" t="n">
        <x:v>3</x:v>
      </x:c>
      <x:c r="D59" s="33" t="str">
        <x:v>LP100</x:v>
      </x:c>
      <x:c r="E59" s="33" t="str">
        <x:v>-</x:v>
      </x:c>
      <x:c r="F59" s="33" t="str">
        <x:v>EA</x:v>
      </x:c>
      <x:c r="G59" s="39" t="n">
        <x:v>9</x:v>
      </x:c>
      <x:c r="H59" s="39" t="n">
        <x:v>180000</x:v>
      </x:c>
      <x:c r="I59" s="39" t="n">
        <x:v>1620000</x:v>
      </x:c>
      <x:c r="J59" s="39" t="n">
        <x:f>G59*H59</x:f>
        <x:v>1620000</x:v>
      </x:c>
      <x:c r="K59" s="33" t="str">
        <x:f>IF(I59=J59,"일치","불일치")</x:f>
        <x:v>일치</x:v>
      </x:c>
      <x:c r="L59" s="33" t="str">
        <x:v>레이저장비 부품</x:v>
      </x:c>
      <x:c r="M59" s="34" t="str">
        <x:v>p.1 발주내용 품목표</x:v>
      </x:c>
    </x:row>
    <x:row r="60" ht="24" customHeight="1">
      <x:c r="A60" s="32" t="str">
        <x:v>PO-014</x:v>
      </x:c>
      <x:c r="B60" s="33" t="str">
        <x:v>발주서_14.pdf</x:v>
      </x:c>
      <x:c r="C60" s="33" t="n">
        <x:v>4</x:v>
      </x:c>
      <x:c r="D60" s="33" t="str">
        <x:v>LP1000</x:v>
      </x:c>
      <x:c r="E60" s="33" t="str">
        <x:v>-</x:v>
      </x:c>
      <x:c r="F60" s="33" t="str">
        <x:v>EA</x:v>
      </x:c>
      <x:c r="G60" s="39" t="n">
        <x:v>10</x:v>
      </x:c>
      <x:c r="H60" s="39" t="n">
        <x:v>130000</x:v>
      </x:c>
      <x:c r="I60" s="39" t="n">
        <x:v>1300000</x:v>
      </x:c>
      <x:c r="J60" s="39" t="n">
        <x:f>G60*H60</x:f>
        <x:v>1300000</x:v>
      </x:c>
      <x:c r="K60" s="33" t="str">
        <x:f>IF(I60=J60,"일치","불일치")</x:f>
        <x:v>일치</x:v>
      </x:c>
      <x:c r="L60" s="33" t="str">
        <x:v>레이저장비 프로브</x:v>
      </x:c>
      <x:c r="M60" s="34" t="str">
        <x:v>p.1 발주내용 품목표</x:v>
      </x:c>
    </x:row>
    <x:row r="61" ht="24" customHeight="1">
      <x:c r="A61" s="32" t="str">
        <x:v>PO-015</x:v>
      </x:c>
      <x:c r="B61" s="33" t="str">
        <x:v>발주서_15.pdf</x:v>
      </x:c>
      <x:c r="C61" s="33" t="n">
        <x:v>1</x:v>
      </x:c>
      <x:c r="D61" s="33" t="str">
        <x:v>LR-PRO</x:v>
      </x:c>
      <x:c r="E61" s="33" t="str">
        <x:v>-</x:v>
      </x:c>
      <x:c r="F61" s="33" t="str">
        <x:v>EA</x:v>
      </x:c>
      <x:c r="G61" s="39" t="n">
        <x:v>3</x:v>
      </x:c>
      <x:c r="H61" s="39" t="n">
        <x:v>6000000</x:v>
      </x:c>
      <x:c r="I61" s="39" t="n">
        <x:v>18000000</x:v>
      </x:c>
      <x:c r="J61" s="39" t="n">
        <x:f>G61*H61</x:f>
        <x:v>18000000</x:v>
      </x:c>
      <x:c r="K61" s="33" t="str">
        <x:f>IF(I61=J61,"일치","불일치")</x:f>
        <x:v>일치</x:v>
      </x:c>
      <x:c r="L61" s="33" t="str">
        <x:v>레이저장비 시스템</x:v>
      </x:c>
      <x:c r="M61" s="34" t="str">
        <x:v>p.1 발주내용 품목표</x:v>
      </x:c>
    </x:row>
    <x:row r="62" ht="24" customHeight="1">
      <x:c r="A62" s="32" t="str">
        <x:v>PO-015</x:v>
      </x:c>
      <x:c r="B62" s="33" t="str">
        <x:v>발주서_15.pdf</x:v>
      </x:c>
      <x:c r="C62" s="33" t="n">
        <x:v>2</x:v>
      </x:c>
      <x:c r="D62" s="33" t="str">
        <x:v>LP2000</x:v>
      </x:c>
      <x:c r="E62" s="33" t="str">
        <x:v>-</x:v>
      </x:c>
      <x:c r="F62" s="33" t="str">
        <x:v>EA</x:v>
      </x:c>
      <x:c r="G62" s="39" t="n">
        <x:v>9</x:v>
      </x:c>
      <x:c r="H62" s="39" t="n">
        <x:v>175000</x:v>
      </x:c>
      <x:c r="I62" s="39" t="n">
        <x:v>1575000</x:v>
      </x:c>
      <x:c r="J62" s="39" t="n">
        <x:f>G62*H62</x:f>
        <x:v>1575000</x:v>
      </x:c>
      <x:c r="K62" s="33" t="str">
        <x:f>IF(I62=J62,"일치","불일치")</x:f>
        <x:v>일치</x:v>
      </x:c>
      <x:c r="L62" s="33" t="str">
        <x:v>레이저장비 프로브</x:v>
      </x:c>
      <x:c r="M62" s="34" t="str">
        <x:v>p.1 발주내용 품목표</x:v>
      </x:c>
    </x:row>
    <x:row r="63" ht="24" customHeight="1">
      <x:c r="A63" s="32" t="str">
        <x:v>PO-015</x:v>
      </x:c>
      <x:c r="B63" s="33" t="str">
        <x:v>발주서_15.pdf</x:v>
      </x:c>
      <x:c r="C63" s="33" t="n">
        <x:v>3</x:v>
      </x:c>
      <x:c r="D63" s="33" t="str">
        <x:v>LP200</x:v>
      </x:c>
      <x:c r="E63" s="33" t="str">
        <x:v>-</x:v>
      </x:c>
      <x:c r="F63" s="33" t="str">
        <x:v>EA</x:v>
      </x:c>
      <x:c r="G63" s="39" t="n">
        <x:v>15</x:v>
      </x:c>
      <x:c r="H63" s="39" t="n">
        <x:v>240000</x:v>
      </x:c>
      <x:c r="I63" s="39" t="n">
        <x:v>3600000</x:v>
      </x:c>
      <x:c r="J63" s="39" t="n">
        <x:f>G63*H63</x:f>
        <x:v>3600000</x:v>
      </x:c>
      <x:c r="K63" s="33" t="str">
        <x:f>IF(I63=J63,"일치","불일치")</x:f>
        <x:v>일치</x:v>
      </x:c>
      <x:c r="L63" s="33" t="str">
        <x:v>레이저장비 부품</x:v>
      </x:c>
      <x:c r="M63" s="34" t="str">
        <x:v>p.1 발주내용 품목표</x:v>
      </x:c>
    </x:row>
    <x:row r="64" ht="24" customHeight="1">
      <x:c r="A64" s="32" t="str">
        <x:v>PO-015</x:v>
      </x:c>
      <x:c r="B64" s="33" t="str">
        <x:v>발주서_15.pdf</x:v>
      </x:c>
      <x:c r="C64" s="33" t="n">
        <x:v>4</x:v>
      </x:c>
      <x:c r="D64" s="33" t="str">
        <x:v>LR-CORE2</x:v>
      </x:c>
      <x:c r="E64" s="33" t="str">
        <x:v>-</x:v>
      </x:c>
      <x:c r="F64" s="33" t="str">
        <x:v>EA</x:v>
      </x:c>
      <x:c r="G64" s="39" t="n">
        <x:v>11</x:v>
      </x:c>
      <x:c r="H64" s="39" t="n">
        <x:v>4800000</x:v>
      </x:c>
      <x:c r="I64" s="39" t="n">
        <x:v>52800000</x:v>
      </x:c>
      <x:c r="J64" s="39" t="n">
        <x:f>G64*H64</x:f>
        <x:v>52800000</x:v>
      </x:c>
      <x:c r="K64" s="33" t="str">
        <x:f>IF(I64=J64,"일치","불일치")</x:f>
        <x:v>일치</x:v>
      </x:c>
      <x:c r="L64" s="33" t="str">
        <x:v>레이저장비 액세서리</x:v>
      </x:c>
      <x:c r="M64" s="34" t="str">
        <x:v>p.1 발주내용 품목표</x:v>
      </x:c>
    </x:row>
    <x:row r="65" ht="24" customHeight="1">
      <x:c r="A65" s="32" t="str">
        <x:v>PO-016</x:v>
      </x:c>
      <x:c r="B65" s="33" t="str">
        <x:v>발주서_16.pdf</x:v>
      </x:c>
      <x:c r="C65" s="33" t="n">
        <x:v>1</x:v>
      </x:c>
      <x:c r="D65" s="33" t="str">
        <x:v>LP2000</x:v>
      </x:c>
      <x:c r="E65" s="33" t="str">
        <x:v>-</x:v>
      </x:c>
      <x:c r="F65" s="33" t="str">
        <x:v>EA</x:v>
      </x:c>
      <x:c r="G65" s="39" t="n">
        <x:v>8</x:v>
      </x:c>
      <x:c r="H65" s="39" t="n">
        <x:v>175000</x:v>
      </x:c>
      <x:c r="I65" s="39" t="n">
        <x:v>1400000</x:v>
      </x:c>
      <x:c r="J65" s="39" t="n">
        <x:f>G65*H65</x:f>
        <x:v>1400000</x:v>
      </x:c>
      <x:c r="K65" s="33" t="str">
        <x:f>IF(I65=J65,"일치","불일치")</x:f>
        <x:v>일치</x:v>
      </x:c>
      <x:c r="L65" s="33" t="str">
        <x:v>레이저장비 프로브</x:v>
      </x:c>
      <x:c r="M65" s="34" t="str">
        <x:v>p.1 발주내용 품목표</x:v>
      </x:c>
    </x:row>
    <x:row r="66" ht="24" customHeight="1">
      <x:c r="A66" s="32" t="str">
        <x:v>PO-016</x:v>
      </x:c>
      <x:c r="B66" s="33" t="str">
        <x:v>발주서_16.pdf</x:v>
      </x:c>
      <x:c r="C66" s="33" t="n">
        <x:v>2</x:v>
      </x:c>
      <x:c r="D66" s="33" t="str">
        <x:v>LP100</x:v>
      </x:c>
      <x:c r="E66" s="33" t="str">
        <x:v>-</x:v>
      </x:c>
      <x:c r="F66" s="33" t="str">
        <x:v>EA</x:v>
      </x:c>
      <x:c r="G66" s="39" t="n">
        <x:v>4</x:v>
      </x:c>
      <x:c r="H66" s="39" t="n">
        <x:v>180000</x:v>
      </x:c>
      <x:c r="I66" s="39" t="n">
        <x:v>720000</x:v>
      </x:c>
      <x:c r="J66" s="39" t="n">
        <x:f>G66*H66</x:f>
        <x:v>720000</x:v>
      </x:c>
      <x:c r="K66" s="33" t="str">
        <x:f>IF(I66=J66,"일치","불일치")</x:f>
        <x:v>일치</x:v>
      </x:c>
      <x:c r="L66" s="33" t="str">
        <x:v>레이저장비 부품</x:v>
      </x:c>
      <x:c r="M66" s="34" t="str">
        <x:v>p.1 발주내용 품목표</x:v>
      </x:c>
    </x:row>
    <x:row r="67" ht="24" customHeight="1">
      <x:c r="A67" s="32" t="str">
        <x:v>PO-016</x:v>
      </x:c>
      <x:c r="B67" s="33" t="str">
        <x:v>발주서_16.pdf</x:v>
      </x:c>
      <x:c r="C67" s="33" t="n">
        <x:v>3</x:v>
      </x:c>
      <x:c r="D67" s="33" t="str">
        <x:v>LP1500</x:v>
      </x:c>
      <x:c r="E67" s="33" t="str">
        <x:v>-</x:v>
      </x:c>
      <x:c r="F67" s="33" t="str">
        <x:v>EA</x:v>
      </x:c>
      <x:c r="G67" s="39" t="n">
        <x:v>11</x:v>
      </x:c>
      <x:c r="H67" s="39" t="n">
        <x:v>145000</x:v>
      </x:c>
      <x:c r="I67" s="39" t="n">
        <x:v>1595000</x:v>
      </x:c>
      <x:c r="J67" s="39" t="n">
        <x:f>G67*H67</x:f>
        <x:v>1595000</x:v>
      </x:c>
      <x:c r="K67" s="33" t="str">
        <x:f>IF(I67=J67,"일치","불일치")</x:f>
        <x:v>일치</x:v>
      </x:c>
      <x:c r="L67" s="33" t="str">
        <x:v>레이저장비 프로브</x:v>
      </x:c>
      <x:c r="M67" s="34" t="str">
        <x:v>p.1 발주내용 품목표</x:v>
      </x:c>
    </x:row>
    <x:row r="68" ht="24" customHeight="1">
      <x:c r="A68" s="32" t="str">
        <x:v>PO-016</x:v>
      </x:c>
      <x:c r="B68" s="33" t="str">
        <x:v>발주서_16.pdf</x:v>
      </x:c>
      <x:c r="C68" s="33" t="n">
        <x:v>4</x:v>
      </x:c>
      <x:c r="D68" s="33" t="str">
        <x:v>LP1000</x:v>
      </x:c>
      <x:c r="E68" s="33" t="str">
        <x:v>-</x:v>
      </x:c>
      <x:c r="F68" s="33" t="str">
        <x:v>EA</x:v>
      </x:c>
      <x:c r="G68" s="39" t="n">
        <x:v>2</x:v>
      </x:c>
      <x:c r="H68" s="39" t="n">
        <x:v>130000</x:v>
      </x:c>
      <x:c r="I68" s="39" t="n">
        <x:v>260000</x:v>
      </x:c>
      <x:c r="J68" s="39" t="n">
        <x:f>G68*H68</x:f>
        <x:v>260000</x:v>
      </x:c>
      <x:c r="K68" s="33" t="str">
        <x:f>IF(I68=J68,"일치","불일치")</x:f>
        <x:v>일치</x:v>
      </x:c>
      <x:c r="L68" s="33" t="str">
        <x:v>레이저장비 프로브</x:v>
      </x:c>
      <x:c r="M68" s="34" t="str">
        <x:v>p.1 발주내용 품목표</x:v>
      </x:c>
    </x:row>
    <x:row r="69" ht="24" customHeight="1">
      <x:c r="A69" s="32" t="str">
        <x:v>PO-017</x:v>
      </x:c>
      <x:c r="B69" s="33" t="str">
        <x:v>발주서_17.pdf</x:v>
      </x:c>
      <x:c r="C69" s="33" t="n">
        <x:v>1</x:v>
      </x:c>
      <x:c r="D69" s="33" t="str">
        <x:v>LP200</x:v>
      </x:c>
      <x:c r="E69" s="33" t="str">
        <x:v>-</x:v>
      </x:c>
      <x:c r="F69" s="33" t="str">
        <x:v>EA</x:v>
      </x:c>
      <x:c r="G69" s="39" t="n">
        <x:v>10</x:v>
      </x:c>
      <x:c r="H69" s="39" t="n">
        <x:v>240000</x:v>
      </x:c>
      <x:c r="I69" s="39" t="n">
        <x:v>2400000</x:v>
      </x:c>
      <x:c r="J69" s="39" t="n">
        <x:f>G69*H69</x:f>
        <x:v>2400000</x:v>
      </x:c>
      <x:c r="K69" s="33" t="str">
        <x:f>IF(I69=J69,"일치","불일치")</x:f>
        <x:v>일치</x:v>
      </x:c>
      <x:c r="L69" s="33" t="str">
        <x:v>레이저장비 부품</x:v>
      </x:c>
      <x:c r="M69" s="34" t="str">
        <x:v>p.1 발주내용 품목표</x:v>
      </x:c>
    </x:row>
    <x:row r="70" ht="24" customHeight="1">
      <x:c r="A70" s="32" t="str">
        <x:v>PO-017</x:v>
      </x:c>
      <x:c r="B70" s="33" t="str">
        <x:v>발주서_17.pdf</x:v>
      </x:c>
      <x:c r="C70" s="33" t="n">
        <x:v>2</x:v>
      </x:c>
      <x:c r="D70" s="33" t="str">
        <x:v>LR1000</x:v>
      </x:c>
      <x:c r="E70" s="33" t="str">
        <x:v>-</x:v>
      </x:c>
      <x:c r="F70" s="33" t="str">
        <x:v>EA</x:v>
      </x:c>
      <x:c r="G70" s="39" t="n">
        <x:v>15</x:v>
      </x:c>
      <x:c r="H70" s="39" t="n">
        <x:v>4500000</x:v>
      </x:c>
      <x:c r="I70" s="39" t="n">
        <x:v>67500000</x:v>
      </x:c>
      <x:c r="J70" s="39" t="n">
        <x:f>G70*H70</x:f>
        <x:v>67500000</x:v>
      </x:c>
      <x:c r="K70" s="33" t="str">
        <x:f>IF(I70=J70,"일치","불일치")</x:f>
        <x:v>일치</x:v>
      </x:c>
      <x:c r="L70" s="33" t="str">
        <x:v>레이저장비 시스템</x:v>
      </x:c>
      <x:c r="M70" s="34" t="str">
        <x:v>p.1 발주내용 품목표</x:v>
      </x:c>
    </x:row>
    <x:row r="71" ht="24" customHeight="1">
      <x:c r="A71" s="32" t="str">
        <x:v>PO-017</x:v>
      </x:c>
      <x:c r="B71" s="33" t="str">
        <x:v>발주서_17.pdf</x:v>
      </x:c>
      <x:c r="C71" s="33" t="n">
        <x:v>3</x:v>
      </x:c>
      <x:c r="D71" s="33" t="str">
        <x:v>LP100</x:v>
      </x:c>
      <x:c r="E71" s="33" t="str">
        <x:v>-</x:v>
      </x:c>
      <x:c r="F71" s="33" t="str">
        <x:v>EA</x:v>
      </x:c>
      <x:c r="G71" s="39" t="n">
        <x:v>10</x:v>
      </x:c>
      <x:c r="H71" s="39" t="n">
        <x:v>180000</x:v>
      </x:c>
      <x:c r="I71" s="39" t="n">
        <x:v>1800000</x:v>
      </x:c>
      <x:c r="J71" s="39" t="n">
        <x:f>G71*H71</x:f>
        <x:v>1800000</x:v>
      </x:c>
      <x:c r="K71" s="33" t="str">
        <x:f>IF(I71=J71,"일치","불일치")</x:f>
        <x:v>일치</x:v>
      </x:c>
      <x:c r="L71" s="33" t="str">
        <x:v>레이저장비 부품</x:v>
      </x:c>
      <x:c r="M71" s="34" t="str">
        <x:v>p.1 발주내용 품목표</x:v>
      </x:c>
    </x:row>
    <x:row r="72" ht="24" customHeight="1">
      <x:c r="A72" s="32" t="str">
        <x:v>PO-017</x:v>
      </x:c>
      <x:c r="B72" s="33" t="str">
        <x:v>발주서_17.pdf</x:v>
      </x:c>
      <x:c r="C72" s="33" t="n">
        <x:v>4</x:v>
      </x:c>
      <x:c r="D72" s="33" t="str">
        <x:v>LP1500</x:v>
      </x:c>
      <x:c r="E72" s="33" t="str">
        <x:v>-</x:v>
      </x:c>
      <x:c r="F72" s="33" t="str">
        <x:v>EA</x:v>
      </x:c>
      <x:c r="G72" s="39" t="n">
        <x:v>8</x:v>
      </x:c>
      <x:c r="H72" s="39" t="n">
        <x:v>145000</x:v>
      </x:c>
      <x:c r="I72" s="39" t="n">
        <x:v>1160000</x:v>
      </x:c>
      <x:c r="J72" s="39" t="n">
        <x:f>G72*H72</x:f>
        <x:v>1160000</x:v>
      </x:c>
      <x:c r="K72" s="33" t="str">
        <x:f>IF(I72=J72,"일치","불일치")</x:f>
        <x:v>일치</x:v>
      </x:c>
      <x:c r="L72" s="33" t="str">
        <x:v>레이저장비 프로브</x:v>
      </x:c>
      <x:c r="M72" s="34" t="str">
        <x:v>p.1 발주내용 품목표</x:v>
      </x:c>
    </x:row>
    <x:row r="73" ht="24" customHeight="1">
      <x:c r="A73" s="32" t="str">
        <x:v>PO-018</x:v>
      </x:c>
      <x:c r="B73" s="33" t="str">
        <x:v>발주서_18.pdf</x:v>
      </x:c>
      <x:c r="C73" s="33" t="n">
        <x:v>1</x:v>
      </x:c>
      <x:c r="D73" s="33" t="str">
        <x:v>LR-PRO</x:v>
      </x:c>
      <x:c r="E73" s="33" t="str">
        <x:v>-</x:v>
      </x:c>
      <x:c r="F73" s="33" t="str">
        <x:v>EA</x:v>
      </x:c>
      <x:c r="G73" s="39" t="n">
        <x:v>5</x:v>
      </x:c>
      <x:c r="H73" s="39" t="n">
        <x:v>6000000</x:v>
      </x:c>
      <x:c r="I73" s="39" t="n">
        <x:v>30000000</x:v>
      </x:c>
      <x:c r="J73" s="39" t="n">
        <x:f>G73*H73</x:f>
        <x:v>30000000</x:v>
      </x:c>
      <x:c r="K73" s="33" t="str">
        <x:f>IF(I73=J73,"일치","불일치")</x:f>
        <x:v>일치</x:v>
      </x:c>
      <x:c r="L73" s="33" t="str">
        <x:v>레이저장비 시스템</x:v>
      </x:c>
      <x:c r="M73" s="34" t="str">
        <x:v>p.1 발주내용 품목표</x:v>
      </x:c>
    </x:row>
    <x:row r="74" ht="24" customHeight="1">
      <x:c r="A74" s="32" t="str">
        <x:v>PO-018</x:v>
      </x:c>
      <x:c r="B74" s="33" t="str">
        <x:v>발주서_18.pdf</x:v>
      </x:c>
      <x:c r="C74" s="33" t="n">
        <x:v>2</x:v>
      </x:c>
      <x:c r="D74" s="33" t="str">
        <x:v>LP1000</x:v>
      </x:c>
      <x:c r="E74" s="33" t="str">
        <x:v>-</x:v>
      </x:c>
      <x:c r="F74" s="33" t="str">
        <x:v>EA</x:v>
      </x:c>
      <x:c r="G74" s="39" t="n">
        <x:v>4</x:v>
      </x:c>
      <x:c r="H74" s="39" t="n">
        <x:v>130000</x:v>
      </x:c>
      <x:c r="I74" s="39" t="n">
        <x:v>520000</x:v>
      </x:c>
      <x:c r="J74" s="39" t="n">
        <x:f>G74*H74</x:f>
        <x:v>520000</x:v>
      </x:c>
      <x:c r="K74" s="33" t="str">
        <x:f>IF(I74=J74,"일치","불일치")</x:f>
        <x:v>일치</x:v>
      </x:c>
      <x:c r="L74" s="33" t="str">
        <x:v>레이저장비 프로브</x:v>
      </x:c>
      <x:c r="M74" s="34" t="str">
        <x:v>p.1 발주내용 품목표</x:v>
      </x:c>
    </x:row>
    <x:row r="75" ht="24" customHeight="1">
      <x:c r="A75" s="32" t="str">
        <x:v>PO-018</x:v>
      </x:c>
      <x:c r="B75" s="33" t="str">
        <x:v>발주서_18.pdf</x:v>
      </x:c>
      <x:c r="C75" s="33" t="n">
        <x:v>3</x:v>
      </x:c>
      <x:c r="D75" s="33" t="str">
        <x:v>LP2000</x:v>
      </x:c>
      <x:c r="E75" s="33" t="str">
        <x:v>-</x:v>
      </x:c>
      <x:c r="F75" s="33" t="str">
        <x:v>EA</x:v>
      </x:c>
      <x:c r="G75" s="39" t="n">
        <x:v>7</x:v>
      </x:c>
      <x:c r="H75" s="39" t="n">
        <x:v>175000</x:v>
      </x:c>
      <x:c r="I75" s="39" t="n">
        <x:v>1225000</x:v>
      </x:c>
      <x:c r="J75" s="39" t="n">
        <x:f>G75*H75</x:f>
        <x:v>1225000</x:v>
      </x:c>
      <x:c r="K75" s="33" t="str">
        <x:f>IF(I75=J75,"일치","불일치")</x:f>
        <x:v>일치</x:v>
      </x:c>
      <x:c r="L75" s="33" t="str">
        <x:v>레이저장비 프로브</x:v>
      </x:c>
      <x:c r="M75" s="34" t="str">
        <x:v>p.1 발주내용 품목표</x:v>
      </x:c>
    </x:row>
    <x:row r="76" ht="24" customHeight="1">
      <x:c r="A76" s="32" t="str">
        <x:v>PO-018</x:v>
      </x:c>
      <x:c r="B76" s="33" t="str">
        <x:v>발주서_18.pdf</x:v>
      </x:c>
      <x:c r="C76" s="33" t="n">
        <x:v>4</x:v>
      </x:c>
      <x:c r="D76" s="33" t="str">
        <x:v>LR2000</x:v>
      </x:c>
      <x:c r="E76" s="33" t="str">
        <x:v>-</x:v>
      </x:c>
      <x:c r="F76" s="33" t="str">
        <x:v>EA</x:v>
      </x:c>
      <x:c r="G76" s="39" t="n">
        <x:v>4</x:v>
      </x:c>
      <x:c r="H76" s="39" t="n">
        <x:v>5200000</x:v>
      </x:c>
      <x:c r="I76" s="39" t="n">
        <x:v>20800000</x:v>
      </x:c>
      <x:c r="J76" s="39" t="n">
        <x:f>G76*H76</x:f>
        <x:v>20800000</x:v>
      </x:c>
      <x:c r="K76" s="33" t="str">
        <x:f>IF(I76=J76,"일치","불일치")</x:f>
        <x:v>일치</x:v>
      </x:c>
      <x:c r="L76" s="33" t="str">
        <x:v>레이저장비 시스템</x:v>
      </x:c>
      <x:c r="M76" s="34" t="str">
        <x:v>p.1 발주내용 품목표</x:v>
      </x:c>
    </x:row>
    <x:row r="77" ht="24" customHeight="1">
      <x:c r="A77" s="32" t="str">
        <x:v>PO-019</x:v>
      </x:c>
      <x:c r="B77" s="33" t="str">
        <x:v>발주서_19.pdf</x:v>
      </x:c>
      <x:c r="C77" s="33" t="n">
        <x:v>1</x:v>
      </x:c>
      <x:c r="D77" s="33" t="str">
        <x:v>LP1500</x:v>
      </x:c>
      <x:c r="E77" s="33" t="str">
        <x:v>-</x:v>
      </x:c>
      <x:c r="F77" s="33" t="str">
        <x:v>EA</x:v>
      </x:c>
      <x:c r="G77" s="39" t="n">
        <x:v>9</x:v>
      </x:c>
      <x:c r="H77" s="39" t="n">
        <x:v>145000</x:v>
      </x:c>
      <x:c r="I77" s="39" t="n">
        <x:v>1305000</x:v>
      </x:c>
      <x:c r="J77" s="39" t="n">
        <x:f>G77*H77</x:f>
        <x:v>1305000</x:v>
      </x:c>
      <x:c r="K77" s="33" t="str">
        <x:f>IF(I77=J77,"일치","불일치")</x:f>
        <x:v>일치</x:v>
      </x:c>
      <x:c r="L77" s="33" t="str">
        <x:v>레이저장비 프로브</x:v>
      </x:c>
      <x:c r="M77" s="34" t="str">
        <x:v>p.1 발주내용 품목표</x:v>
      </x:c>
    </x:row>
    <x:row r="78" ht="24" customHeight="1">
      <x:c r="A78" s="32" t="str">
        <x:v>PO-019</x:v>
      </x:c>
      <x:c r="B78" s="33" t="str">
        <x:v>발주서_19.pdf</x:v>
      </x:c>
      <x:c r="C78" s="33" t="n">
        <x:v>2</x:v>
      </x:c>
      <x:c r="D78" s="33" t="str">
        <x:v>LR-CORE2</x:v>
      </x:c>
      <x:c r="E78" s="33" t="str">
        <x:v>-</x:v>
      </x:c>
      <x:c r="F78" s="33" t="str">
        <x:v>EA</x:v>
      </x:c>
      <x:c r="G78" s="39" t="n">
        <x:v>5</x:v>
      </x:c>
      <x:c r="H78" s="39" t="n">
        <x:v>4800000</x:v>
      </x:c>
      <x:c r="I78" s="39" t="n">
        <x:v>24000000</x:v>
      </x:c>
      <x:c r="J78" s="39" t="n">
        <x:f>G78*H78</x:f>
        <x:v>24000000</x:v>
      </x:c>
      <x:c r="K78" s="33" t="str">
        <x:f>IF(I78=J78,"일치","불일치")</x:f>
        <x:v>일치</x:v>
      </x:c>
      <x:c r="L78" s="33" t="str">
        <x:v>레이저장비 액세서리</x:v>
      </x:c>
      <x:c r="M78" s="34" t="str">
        <x:v>p.1 발주내용 품목표</x:v>
      </x:c>
    </x:row>
    <x:row r="79" ht="24" customHeight="1">
      <x:c r="A79" s="32" t="str">
        <x:v>PO-019</x:v>
      </x:c>
      <x:c r="B79" s="33" t="str">
        <x:v>발주서_19.pdf</x:v>
      </x:c>
      <x:c r="C79" s="33" t="n">
        <x:v>3</x:v>
      </x:c>
      <x:c r="D79" s="33" t="str">
        <x:v>LP1000</x:v>
      </x:c>
      <x:c r="E79" s="33" t="str">
        <x:v>-</x:v>
      </x:c>
      <x:c r="F79" s="33" t="str">
        <x:v>EA</x:v>
      </x:c>
      <x:c r="G79" s="39" t="n">
        <x:v>2</x:v>
      </x:c>
      <x:c r="H79" s="39" t="n">
        <x:v>130000</x:v>
      </x:c>
      <x:c r="I79" s="39" t="n">
        <x:v>260000</x:v>
      </x:c>
      <x:c r="J79" s="39" t="n">
        <x:f>G79*H79</x:f>
        <x:v>260000</x:v>
      </x:c>
      <x:c r="K79" s="33" t="str">
        <x:f>IF(I79=J79,"일치","불일치")</x:f>
        <x:v>일치</x:v>
      </x:c>
      <x:c r="L79" s="33" t="str">
        <x:v>레이저장비 프로브</x:v>
      </x:c>
      <x:c r="M79" s="34" t="str">
        <x:v>p.1 발주내용 품목표</x:v>
      </x:c>
    </x:row>
    <x:row r="80" ht="24" customHeight="1">
      <x:c r="A80" s="32" t="str">
        <x:v>PO-019</x:v>
      </x:c>
      <x:c r="B80" s="33" t="str">
        <x:v>발주서_19.pdf</x:v>
      </x:c>
      <x:c r="C80" s="33" t="n">
        <x:v>4</x:v>
      </x:c>
      <x:c r="D80" s="33" t="str">
        <x:v>LR2000</x:v>
      </x:c>
      <x:c r="E80" s="33" t="str">
        <x:v>-</x:v>
      </x:c>
      <x:c r="F80" s="33" t="str">
        <x:v>EA</x:v>
      </x:c>
      <x:c r="G80" s="39" t="n">
        <x:v>7</x:v>
      </x:c>
      <x:c r="H80" s="39" t="n">
        <x:v>5200000</x:v>
      </x:c>
      <x:c r="I80" s="39" t="n">
        <x:v>36400000</x:v>
      </x:c>
      <x:c r="J80" s="39" t="n">
        <x:f>G80*H80</x:f>
        <x:v>36400000</x:v>
      </x:c>
      <x:c r="K80" s="33" t="str">
        <x:f>IF(I80=J80,"일치","불일치")</x:f>
        <x:v>일치</x:v>
      </x:c>
      <x:c r="L80" s="33" t="str">
        <x:v>레이저장비 시스템</x:v>
      </x:c>
      <x:c r="M80" s="34" t="str">
        <x:v>p.1 발주내용 품목표</x:v>
      </x:c>
    </x:row>
    <x:row r="81" ht="24" customHeight="1">
      <x:c r="A81" s="32" t="str">
        <x:v>PO-020</x:v>
      </x:c>
      <x:c r="B81" s="33" t="str">
        <x:v>발주서_20.pdf</x:v>
      </x:c>
      <x:c r="C81" s="33" t="n">
        <x:v>1</x:v>
      </x:c>
      <x:c r="D81" s="33" t="str">
        <x:v>LR-PRO</x:v>
      </x:c>
      <x:c r="E81" s="33" t="str">
        <x:v>-</x:v>
      </x:c>
      <x:c r="F81" s="33" t="str">
        <x:v>EA</x:v>
      </x:c>
      <x:c r="G81" s="39" t="n">
        <x:v>13</x:v>
      </x:c>
      <x:c r="H81" s="39" t="n">
        <x:v>6000000</x:v>
      </x:c>
      <x:c r="I81" s="39" t="n">
        <x:v>78000000</x:v>
      </x:c>
      <x:c r="J81" s="39" t="n">
        <x:f>G81*H81</x:f>
        <x:v>78000000</x:v>
      </x:c>
      <x:c r="K81" s="33" t="str">
        <x:f>IF(I81=J81,"일치","불일치")</x:f>
        <x:v>일치</x:v>
      </x:c>
      <x:c r="L81" s="33" t="str">
        <x:v>레이저장비 시스템</x:v>
      </x:c>
      <x:c r="M81" s="34" t="str">
        <x:v>p.1 발주내용 품목표</x:v>
      </x:c>
    </x:row>
    <x:row r="82" ht="24" customHeight="1">
      <x:c r="A82" s="32" t="str">
        <x:v>PO-020</x:v>
      </x:c>
      <x:c r="B82" s="33" t="str">
        <x:v>발주서_20.pdf</x:v>
      </x:c>
      <x:c r="C82" s="33" t="n">
        <x:v>2</x:v>
      </x:c>
      <x:c r="D82" s="33" t="str">
        <x:v>LP100</x:v>
      </x:c>
      <x:c r="E82" s="33" t="str">
        <x:v>-</x:v>
      </x:c>
      <x:c r="F82" s="33" t="str">
        <x:v>EA</x:v>
      </x:c>
      <x:c r="G82" s="39" t="n">
        <x:v>11</x:v>
      </x:c>
      <x:c r="H82" s="39" t="n">
        <x:v>180000</x:v>
      </x:c>
      <x:c r="I82" s="39" t="n">
        <x:v>1980000</x:v>
      </x:c>
      <x:c r="J82" s="39" t="n">
        <x:f>G82*H82</x:f>
        <x:v>1980000</x:v>
      </x:c>
      <x:c r="K82" s="33" t="str">
        <x:f>IF(I82=J82,"일치","불일치")</x:f>
        <x:v>일치</x:v>
      </x:c>
      <x:c r="L82" s="33" t="str">
        <x:v>레이저장비 부품</x:v>
      </x:c>
      <x:c r="M82" s="34" t="str">
        <x:v>p.1 발주내용 품목표</x:v>
      </x:c>
    </x:row>
    <x:row r="83" ht="24" customHeight="1">
      <x:c r="A83" s="32" t="str">
        <x:v>PO-020</x:v>
      </x:c>
      <x:c r="B83" s="33" t="str">
        <x:v>발주서_20.pdf</x:v>
      </x:c>
      <x:c r="C83" s="33" t="n">
        <x:v>3</x:v>
      </x:c>
      <x:c r="D83" s="33" t="str">
        <x:v>LR1000</x:v>
      </x:c>
      <x:c r="E83" s="33" t="str">
        <x:v>-</x:v>
      </x:c>
      <x:c r="F83" s="33" t="str">
        <x:v>EA</x:v>
      </x:c>
      <x:c r="G83" s="39" t="n">
        <x:v>2</x:v>
      </x:c>
      <x:c r="H83" s="39" t="n">
        <x:v>4500000</x:v>
      </x:c>
      <x:c r="I83" s="39" t="n">
        <x:v>9000000</x:v>
      </x:c>
      <x:c r="J83" s="39" t="n">
        <x:f>G83*H83</x:f>
        <x:v>9000000</x:v>
      </x:c>
      <x:c r="K83" s="33" t="str">
        <x:f>IF(I83=J83,"일치","불일치")</x:f>
        <x:v>일치</x:v>
      </x:c>
      <x:c r="L83" s="33" t="str">
        <x:v>레이저장비 시스템</x:v>
      </x:c>
      <x:c r="M83" s="34" t="str">
        <x:v>p.1 발주내용 품목표</x:v>
      </x:c>
    </x:row>
    <x:row r="84" ht="24" customHeight="1">
      <x:c r="A84" s="32" t="str">
        <x:v>PO-020</x:v>
      </x:c>
      <x:c r="B84" s="33" t="str">
        <x:v>발주서_20.pdf</x:v>
      </x:c>
      <x:c r="C84" s="33" t="n">
        <x:v>4</x:v>
      </x:c>
      <x:c r="D84" s="33" t="str">
        <x:v>LP200</x:v>
      </x:c>
      <x:c r="E84" s="33" t="str">
        <x:v>-</x:v>
      </x:c>
      <x:c r="F84" s="33" t="str">
        <x:v>EA</x:v>
      </x:c>
      <x:c r="G84" s="39" t="n">
        <x:v>12</x:v>
      </x:c>
      <x:c r="H84" s="39" t="n">
        <x:v>240000</x:v>
      </x:c>
      <x:c r="I84" s="39" t="n">
        <x:v>2880000</x:v>
      </x:c>
      <x:c r="J84" s="39" t="n">
        <x:f>G84*H84</x:f>
        <x:v>2880000</x:v>
      </x:c>
      <x:c r="K84" s="33" t="str">
        <x:f>IF(I84=J84,"일치","불일치")</x:f>
        <x:v>일치</x:v>
      </x:c>
      <x:c r="L84" s="33" t="str">
        <x:v>레이저장비 부품</x:v>
      </x:c>
      <x:c r="M84" s="34" t="str">
        <x:v>p.1 발주내용 품목표</x:v>
      </x:c>
    </x:row>
    <x:row r="85" ht="24" customHeight="1">
      <x:c r="A85" s="32" t="str">
        <x:v>PO-021</x:v>
      </x:c>
      <x:c r="B85" s="33" t="str">
        <x:v>발주서_21.pdf</x:v>
      </x:c>
      <x:c r="C85" s="33" t="n">
        <x:v>1</x:v>
      </x:c>
      <x:c r="D85" s="33" t="str">
        <x:v>LR-PRO</x:v>
      </x:c>
      <x:c r="E85" s="33" t="str">
        <x:v>-</x:v>
      </x:c>
      <x:c r="F85" s="33" t="str">
        <x:v>EA</x:v>
      </x:c>
      <x:c r="G85" s="39" t="n">
        <x:v>4</x:v>
      </x:c>
      <x:c r="H85" s="39" t="n">
        <x:v>6000000</x:v>
      </x:c>
      <x:c r="I85" s="39" t="n">
        <x:v>24000000</x:v>
      </x:c>
      <x:c r="J85" s="39" t="n">
        <x:f>G85*H85</x:f>
        <x:v>24000000</x:v>
      </x:c>
      <x:c r="K85" s="33" t="str">
        <x:f>IF(I85=J85,"일치","불일치")</x:f>
        <x:v>일치</x:v>
      </x:c>
      <x:c r="L85" s="33" t="str">
        <x:v>레이저장비 시스템</x:v>
      </x:c>
      <x:c r="M85" s="34" t="str">
        <x:v>p.1 발주내용 품목표</x:v>
      </x:c>
    </x:row>
    <x:row r="86" ht="24" customHeight="1">
      <x:c r="A86" s="32" t="str">
        <x:v>PO-021</x:v>
      </x:c>
      <x:c r="B86" s="33" t="str">
        <x:v>발주서_21.pdf</x:v>
      </x:c>
      <x:c r="C86" s="33" t="n">
        <x:v>2</x:v>
      </x:c>
      <x:c r="D86" s="33" t="str">
        <x:v>LR-CORE3</x:v>
      </x:c>
      <x:c r="E86" s="33" t="str">
        <x:v>-</x:v>
      </x:c>
      <x:c r="F86" s="33" t="str">
        <x:v>EA</x:v>
      </x:c>
      <x:c r="G86" s="39" t="n">
        <x:v>14</x:v>
      </x:c>
      <x:c r="H86" s="39" t="n">
        <x:v>60000</x:v>
      </x:c>
      <x:c r="I86" s="39" t="n">
        <x:v>840000</x:v>
      </x:c>
      <x:c r="J86" s="39" t="n">
        <x:f>G86*H86</x:f>
        <x:v>840000</x:v>
      </x:c>
      <x:c r="K86" s="33" t="str">
        <x:f>IF(I86=J86,"일치","불일치")</x:f>
        <x:v>일치</x:v>
      </x:c>
      <x:c r="L86" s="33" t="str">
        <x:v>레이저장비 액세서리</x:v>
      </x:c>
      <x:c r="M86" s="34" t="str">
        <x:v>p.1 발주내용 품목표</x:v>
      </x:c>
    </x:row>
    <x:row r="87" ht="24" customHeight="1">
      <x:c r="A87" s="32" t="str">
        <x:v>PO-021</x:v>
      </x:c>
      <x:c r="B87" s="33" t="str">
        <x:v>발주서_21.pdf</x:v>
      </x:c>
      <x:c r="C87" s="33" t="n">
        <x:v>3</x:v>
      </x:c>
      <x:c r="D87" s="33" t="str">
        <x:v>LR-CORE2</x:v>
      </x:c>
      <x:c r="E87" s="33" t="str">
        <x:v>-</x:v>
      </x:c>
      <x:c r="F87" s="33" t="str">
        <x:v>EA</x:v>
      </x:c>
      <x:c r="G87" s="39" t="n">
        <x:v>13</x:v>
      </x:c>
      <x:c r="H87" s="39" t="n">
        <x:v>4800000</x:v>
      </x:c>
      <x:c r="I87" s="39" t="n">
        <x:v>62400000</x:v>
      </x:c>
      <x:c r="J87" s="39" t="n">
        <x:f>G87*H87</x:f>
        <x:v>62400000</x:v>
      </x:c>
      <x:c r="K87" s="33" t="str">
        <x:f>IF(I87=J87,"일치","불일치")</x:f>
        <x:v>일치</x:v>
      </x:c>
      <x:c r="L87" s="33" t="str">
        <x:v>레이저장비 액세서리</x:v>
      </x:c>
      <x:c r="M87" s="34" t="str">
        <x:v>p.1 발주내용 품목표</x:v>
      </x:c>
    </x:row>
    <x:row r="88" ht="24" customHeight="1">
      <x:c r="A88" s="32" t="str">
        <x:v>PO-021</x:v>
      </x:c>
      <x:c r="B88" s="33" t="str">
        <x:v>발주서_21.pdf</x:v>
      </x:c>
      <x:c r="C88" s="33" t="n">
        <x:v>4</x:v>
      </x:c>
      <x:c r="D88" s="33" t="str">
        <x:v>LP1000</x:v>
      </x:c>
      <x:c r="E88" s="33" t="str">
        <x:v>-</x:v>
      </x:c>
      <x:c r="F88" s="33" t="str">
        <x:v>EA</x:v>
      </x:c>
      <x:c r="G88" s="39" t="n">
        <x:v>15</x:v>
      </x:c>
      <x:c r="H88" s="39" t="n">
        <x:v>130000</x:v>
      </x:c>
      <x:c r="I88" s="39" t="n">
        <x:v>1950000</x:v>
      </x:c>
      <x:c r="J88" s="39" t="n">
        <x:f>G88*H88</x:f>
        <x:v>1950000</x:v>
      </x:c>
      <x:c r="K88" s="33" t="str">
        <x:f>IF(I88=J88,"일치","불일치")</x:f>
        <x:v>일치</x:v>
      </x:c>
      <x:c r="L88" s="33" t="str">
        <x:v>레이저장비 프로브</x:v>
      </x:c>
      <x:c r="M88" s="34" t="str">
        <x:v>p.1 발주내용 품목표</x:v>
      </x:c>
    </x:row>
    <x:row r="89" ht="24" customHeight="1">
      <x:c r="A89" s="32" t="str">
        <x:v>PO-022</x:v>
      </x:c>
      <x:c r="B89" s="33" t="str">
        <x:v>발주서_22.pdf</x:v>
      </x:c>
      <x:c r="C89" s="33" t="n">
        <x:v>1</x:v>
      </x:c>
      <x:c r="D89" s="33" t="str">
        <x:v>LR-PRO</x:v>
      </x:c>
      <x:c r="E89" s="33" t="str">
        <x:v>-</x:v>
      </x:c>
      <x:c r="F89" s="33" t="str">
        <x:v>EA</x:v>
      </x:c>
      <x:c r="G89" s="39" t="n">
        <x:v>8</x:v>
      </x:c>
      <x:c r="H89" s="39" t="n">
        <x:v>6000000</x:v>
      </x:c>
      <x:c r="I89" s="39" t="n">
        <x:v>48000000</x:v>
      </x:c>
      <x:c r="J89" s="39" t="n">
        <x:f>G89*H89</x:f>
        <x:v>48000000</x:v>
      </x:c>
      <x:c r="K89" s="33" t="str">
        <x:f>IF(I89=J89,"일치","불일치")</x:f>
        <x:v>일치</x:v>
      </x:c>
      <x:c r="L89" s="33" t="str">
        <x:v>레이저장비 시스템</x:v>
      </x:c>
      <x:c r="M89" s="34" t="str">
        <x:v>p.1 발주내용 품목표</x:v>
      </x:c>
    </x:row>
    <x:row r="90" ht="24" customHeight="1">
      <x:c r="A90" s="32" t="str">
        <x:v>PO-022</x:v>
      </x:c>
      <x:c r="B90" s="33" t="str">
        <x:v>발주서_22.pdf</x:v>
      </x:c>
      <x:c r="C90" s="33" t="n">
        <x:v>2</x:v>
      </x:c>
      <x:c r="D90" s="33" t="str">
        <x:v>LP100</x:v>
      </x:c>
      <x:c r="E90" s="33" t="str">
        <x:v>-</x:v>
      </x:c>
      <x:c r="F90" s="33" t="str">
        <x:v>EA</x:v>
      </x:c>
      <x:c r="G90" s="39" t="n">
        <x:v>12</x:v>
      </x:c>
      <x:c r="H90" s="39" t="n">
        <x:v>180000</x:v>
      </x:c>
      <x:c r="I90" s="39" t="n">
        <x:v>2160000</x:v>
      </x:c>
      <x:c r="J90" s="39" t="n">
        <x:f>G90*H90</x:f>
        <x:v>2160000</x:v>
      </x:c>
      <x:c r="K90" s="33" t="str">
        <x:f>IF(I90=J90,"일치","불일치")</x:f>
        <x:v>일치</x:v>
      </x:c>
      <x:c r="L90" s="33" t="str">
        <x:v>레이저장비 부품</x:v>
      </x:c>
      <x:c r="M90" s="34" t="str">
        <x:v>p.1 발주내용 품목표</x:v>
      </x:c>
    </x:row>
    <x:row r="91" ht="24" customHeight="1">
      <x:c r="A91" s="32" t="str">
        <x:v>PO-022</x:v>
      </x:c>
      <x:c r="B91" s="33" t="str">
        <x:v>발주서_22.pdf</x:v>
      </x:c>
      <x:c r="C91" s="33" t="n">
        <x:v>3</x:v>
      </x:c>
      <x:c r="D91" s="33" t="str">
        <x:v>LR-CORE1</x:v>
      </x:c>
      <x:c r="E91" s="33" t="str">
        <x:v>-</x:v>
      </x:c>
      <x:c r="F91" s="33" t="str">
        <x:v>EA</x:v>
      </x:c>
      <x:c r="G91" s="39" t="n">
        <x:v>8</x:v>
      </x:c>
      <x:c r="H91" s="39" t="n">
        <x:v>4200000</x:v>
      </x:c>
      <x:c r="I91" s="39" t="n">
        <x:v>33600000</x:v>
      </x:c>
      <x:c r="J91" s="39" t="n">
        <x:f>G91*H91</x:f>
        <x:v>33600000</x:v>
      </x:c>
      <x:c r="K91" s="33" t="str">
        <x:f>IF(I91=J91,"일치","불일치")</x:f>
        <x:v>일치</x:v>
      </x:c>
      <x:c r="L91" s="33" t="str">
        <x:v>레이저장비 액세서리</x:v>
      </x:c>
      <x:c r="M91" s="34" t="str">
        <x:v>p.1 발주내용 품목표</x:v>
      </x:c>
    </x:row>
    <x:row r="92" ht="24" customHeight="1">
      <x:c r="A92" s="32" t="str">
        <x:v>PO-022</x:v>
      </x:c>
      <x:c r="B92" s="33" t="str">
        <x:v>발주서_22.pdf</x:v>
      </x:c>
      <x:c r="C92" s="33" t="n">
        <x:v>4</x:v>
      </x:c>
      <x:c r="D92" s="33" t="str">
        <x:v>LP200</x:v>
      </x:c>
      <x:c r="E92" s="33" t="str">
        <x:v>-</x:v>
      </x:c>
      <x:c r="F92" s="33" t="str">
        <x:v>EA</x:v>
      </x:c>
      <x:c r="G92" s="39" t="n">
        <x:v>4</x:v>
      </x:c>
      <x:c r="H92" s="39" t="n">
        <x:v>240000</x:v>
      </x:c>
      <x:c r="I92" s="39" t="n">
        <x:v>960000</x:v>
      </x:c>
      <x:c r="J92" s="39" t="n">
        <x:f>G92*H92</x:f>
        <x:v>960000</x:v>
      </x:c>
      <x:c r="K92" s="33" t="str">
        <x:f>IF(I92=J92,"일치","불일치")</x:f>
        <x:v>일치</x:v>
      </x:c>
      <x:c r="L92" s="33" t="str">
        <x:v>레이저장비 부품</x:v>
      </x:c>
      <x:c r="M92" s="34" t="str">
        <x:v>p.1 발주내용 품목표</x:v>
      </x:c>
    </x:row>
    <x:row r="93" ht="24" customHeight="1">
      <x:c r="A93" s="32" t="str">
        <x:v>PO-023</x:v>
      </x:c>
      <x:c r="B93" s="33" t="str">
        <x:v>발주서_23.pdf</x:v>
      </x:c>
      <x:c r="C93" s="33" t="n">
        <x:v>1</x:v>
      </x:c>
      <x:c r="D93" s="33" t="str">
        <x:v>LP1000</x:v>
      </x:c>
      <x:c r="E93" s="33" t="str">
        <x:v>-</x:v>
      </x:c>
      <x:c r="F93" s="33" t="str">
        <x:v>EA</x:v>
      </x:c>
      <x:c r="G93" s="39" t="n">
        <x:v>15</x:v>
      </x:c>
      <x:c r="H93" s="39" t="n">
        <x:v>130000</x:v>
      </x:c>
      <x:c r="I93" s="39" t="n">
        <x:v>1950000</x:v>
      </x:c>
      <x:c r="J93" s="39" t="n">
        <x:f>G93*H93</x:f>
        <x:v>1950000</x:v>
      </x:c>
      <x:c r="K93" s="33" t="str">
        <x:f>IF(I93=J93,"일치","불일치")</x:f>
        <x:v>일치</x:v>
      </x:c>
      <x:c r="L93" s="33" t="str">
        <x:v>레이저장비 프로브</x:v>
      </x:c>
      <x:c r="M93" s="34" t="str">
        <x:v>p.1 발주내용 품목표</x:v>
      </x:c>
    </x:row>
    <x:row r="94" ht="24" customHeight="1">
      <x:c r="A94" s="32" t="str">
        <x:v>PO-023</x:v>
      </x:c>
      <x:c r="B94" s="33" t="str">
        <x:v>발주서_23.pdf</x:v>
      </x:c>
      <x:c r="C94" s="33" t="n">
        <x:v>2</x:v>
      </x:c>
      <x:c r="D94" s="33" t="str">
        <x:v>LR1000</x:v>
      </x:c>
      <x:c r="E94" s="33" t="str">
        <x:v>-</x:v>
      </x:c>
      <x:c r="F94" s="33" t="str">
        <x:v>EA</x:v>
      </x:c>
      <x:c r="G94" s="39" t="n">
        <x:v>6</x:v>
      </x:c>
      <x:c r="H94" s="39" t="n">
        <x:v>4500000</x:v>
      </x:c>
      <x:c r="I94" s="39" t="n">
        <x:v>27000000</x:v>
      </x:c>
      <x:c r="J94" s="39" t="n">
        <x:f>G94*H94</x:f>
        <x:v>27000000</x:v>
      </x:c>
      <x:c r="K94" s="33" t="str">
        <x:f>IF(I94=J94,"일치","불일치")</x:f>
        <x:v>일치</x:v>
      </x:c>
      <x:c r="L94" s="33" t="str">
        <x:v>레이저장비 시스템</x:v>
      </x:c>
      <x:c r="M94" s="34" t="str">
        <x:v>p.1 발주내용 품목표</x:v>
      </x:c>
    </x:row>
    <x:row r="95" ht="24" customHeight="1">
      <x:c r="A95" s="32" t="str">
        <x:v>PO-023</x:v>
      </x:c>
      <x:c r="B95" s="33" t="str">
        <x:v>발주서_23.pdf</x:v>
      </x:c>
      <x:c r="C95" s="33" t="n">
        <x:v>3</x:v>
      </x:c>
      <x:c r="D95" s="33" t="str">
        <x:v>LR-CORE3</x:v>
      </x:c>
      <x:c r="E95" s="33" t="str">
        <x:v>-</x:v>
      </x:c>
      <x:c r="F95" s="33" t="str">
        <x:v>EA</x:v>
      </x:c>
      <x:c r="G95" s="39" t="n">
        <x:v>12</x:v>
      </x:c>
      <x:c r="H95" s="39" t="n">
        <x:v>60000</x:v>
      </x:c>
      <x:c r="I95" s="39" t="n">
        <x:v>720000</x:v>
      </x:c>
      <x:c r="J95" s="39" t="n">
        <x:f>G95*H95</x:f>
        <x:v>720000</x:v>
      </x:c>
      <x:c r="K95" s="33" t="str">
        <x:f>IF(I95=J95,"일치","불일치")</x:f>
        <x:v>일치</x:v>
      </x:c>
      <x:c r="L95" s="33" t="str">
        <x:v>레이저장비 액세서리</x:v>
      </x:c>
      <x:c r="M95" s="34" t="str">
        <x:v>p.1 발주내용 품목표</x:v>
      </x:c>
    </x:row>
    <x:row r="96" ht="24" customHeight="1">
      <x:c r="A96" s="32" t="str">
        <x:v>PO-023</x:v>
      </x:c>
      <x:c r="B96" s="33" t="str">
        <x:v>발주서_23.pdf</x:v>
      </x:c>
      <x:c r="C96" s="33" t="n">
        <x:v>4</x:v>
      </x:c>
      <x:c r="D96" s="33" t="str">
        <x:v>LP1500</x:v>
      </x:c>
      <x:c r="E96" s="33" t="str">
        <x:v>-</x:v>
      </x:c>
      <x:c r="F96" s="33" t="str">
        <x:v>EA</x:v>
      </x:c>
      <x:c r="G96" s="39" t="n">
        <x:v>14</x:v>
      </x:c>
      <x:c r="H96" s="39" t="n">
        <x:v>145000</x:v>
      </x:c>
      <x:c r="I96" s="39" t="n">
        <x:v>2030000</x:v>
      </x:c>
      <x:c r="J96" s="39" t="n">
        <x:f>G96*H96</x:f>
        <x:v>2030000</x:v>
      </x:c>
      <x:c r="K96" s="33" t="str">
        <x:f>IF(I96=J96,"일치","불일치")</x:f>
        <x:v>일치</x:v>
      </x:c>
      <x:c r="L96" s="33" t="str">
        <x:v>레이저장비 프로브</x:v>
      </x:c>
      <x:c r="M96" s="34" t="str">
        <x:v>p.1 발주내용 품목표</x:v>
      </x:c>
    </x:row>
    <x:row r="97" ht="24" customHeight="1">
      <x:c r="A97" s="32" t="str">
        <x:v>PO-024</x:v>
      </x:c>
      <x:c r="B97" s="33" t="str">
        <x:v>발주서_24.pdf</x:v>
      </x:c>
      <x:c r="C97" s="33" t="n">
        <x:v>1</x:v>
      </x:c>
      <x:c r="D97" s="33" t="str">
        <x:v>LR-CORE1</x:v>
      </x:c>
      <x:c r="E97" s="33" t="str">
        <x:v>-</x:v>
      </x:c>
      <x:c r="F97" s="33" t="str">
        <x:v>EA</x:v>
      </x:c>
      <x:c r="G97" s="39" t="n">
        <x:v>14</x:v>
      </x:c>
      <x:c r="H97" s="39" t="n">
        <x:v>4200000</x:v>
      </x:c>
      <x:c r="I97" s="39" t="n">
        <x:v>58800000</x:v>
      </x:c>
      <x:c r="J97" s="39" t="n">
        <x:f>G97*H97</x:f>
        <x:v>58800000</x:v>
      </x:c>
      <x:c r="K97" s="33" t="str">
        <x:f>IF(I97=J97,"일치","불일치")</x:f>
        <x:v>일치</x:v>
      </x:c>
      <x:c r="L97" s="33" t="str">
        <x:v>레이저장비 액세서리</x:v>
      </x:c>
      <x:c r="M97" s="34" t="str">
        <x:v>p.1 발주내용 품목표</x:v>
      </x:c>
    </x:row>
    <x:row r="98" ht="24" customHeight="1">
      <x:c r="A98" s="32" t="str">
        <x:v>PO-024</x:v>
      </x:c>
      <x:c r="B98" s="33" t="str">
        <x:v>발주서_24.pdf</x:v>
      </x:c>
      <x:c r="C98" s="33" t="n">
        <x:v>2</x:v>
      </x:c>
      <x:c r="D98" s="33" t="str">
        <x:v>LP1000</x:v>
      </x:c>
      <x:c r="E98" s="33" t="str">
        <x:v>-</x:v>
      </x:c>
      <x:c r="F98" s="33" t="str">
        <x:v>EA</x:v>
      </x:c>
      <x:c r="G98" s="39" t="n">
        <x:v>3</x:v>
      </x:c>
      <x:c r="H98" s="39" t="n">
        <x:v>130000</x:v>
      </x:c>
      <x:c r="I98" s="39" t="n">
        <x:v>390000</x:v>
      </x:c>
      <x:c r="J98" s="39" t="n">
        <x:f>G98*H98</x:f>
        <x:v>390000</x:v>
      </x:c>
      <x:c r="K98" s="33" t="str">
        <x:f>IF(I98=J98,"일치","불일치")</x:f>
        <x:v>일치</x:v>
      </x:c>
      <x:c r="L98" s="33" t="str">
        <x:v>레이저장비 프로브</x:v>
      </x:c>
      <x:c r="M98" s="34" t="str">
        <x:v>p.1 발주내용 품목표</x:v>
      </x:c>
    </x:row>
    <x:row r="99" ht="24" customHeight="1">
      <x:c r="A99" s="32" t="str">
        <x:v>PO-024</x:v>
      </x:c>
      <x:c r="B99" s="33" t="str">
        <x:v>발주서_24.pdf</x:v>
      </x:c>
      <x:c r="C99" s="33" t="n">
        <x:v>3</x:v>
      </x:c>
      <x:c r="D99" s="33" t="str">
        <x:v>LP200</x:v>
      </x:c>
      <x:c r="E99" s="33" t="str">
        <x:v>-</x:v>
      </x:c>
      <x:c r="F99" s="33" t="str">
        <x:v>EA</x:v>
      </x:c>
      <x:c r="G99" s="39" t="n">
        <x:v>3</x:v>
      </x:c>
      <x:c r="H99" s="39" t="n">
        <x:v>240000</x:v>
      </x:c>
      <x:c r="I99" s="39" t="n">
        <x:v>720000</x:v>
      </x:c>
      <x:c r="J99" s="39" t="n">
        <x:f>G99*H99</x:f>
        <x:v>720000</x:v>
      </x:c>
      <x:c r="K99" s="33" t="str">
        <x:f>IF(I99=J99,"일치","불일치")</x:f>
        <x:v>일치</x:v>
      </x:c>
      <x:c r="L99" s="33" t="str">
        <x:v>레이저장비 부품</x:v>
      </x:c>
      <x:c r="M99" s="34" t="str">
        <x:v>p.1 발주내용 품목표</x:v>
      </x:c>
    </x:row>
    <x:row r="100" ht="24" customHeight="1">
      <x:c r="A100" s="32" t="str">
        <x:v>PO-024</x:v>
      </x:c>
      <x:c r="B100" s="33" t="str">
        <x:v>발주서_24.pdf</x:v>
      </x:c>
      <x:c r="C100" s="33" t="n">
        <x:v>4</x:v>
      </x:c>
      <x:c r="D100" s="33" t="str">
        <x:v>LP100</x:v>
      </x:c>
      <x:c r="E100" s="33" t="str">
        <x:v>-</x:v>
      </x:c>
      <x:c r="F100" s="33" t="str">
        <x:v>EA</x:v>
      </x:c>
      <x:c r="G100" s="39" t="n">
        <x:v>7</x:v>
      </x:c>
      <x:c r="H100" s="39" t="n">
        <x:v>180000</x:v>
      </x:c>
      <x:c r="I100" s="39" t="n">
        <x:v>1260000</x:v>
      </x:c>
      <x:c r="J100" s="39" t="n">
        <x:f>G100*H100</x:f>
        <x:v>1260000</x:v>
      </x:c>
      <x:c r="K100" s="33" t="str">
        <x:f>IF(I100=J100,"일치","불일치")</x:f>
        <x:v>일치</x:v>
      </x:c>
      <x:c r="L100" s="33" t="str">
        <x:v>레이저장비 부품</x:v>
      </x:c>
      <x:c r="M100" s="34" t="str">
        <x:v>p.1 발주내용 품목표</x:v>
      </x:c>
    </x:row>
    <x:row r="101" ht="24" customHeight="1">
      <x:c r="A101" s="32" t="str">
        <x:v>PO-025</x:v>
      </x:c>
      <x:c r="B101" s="33" t="str">
        <x:v>발주서_25.pdf</x:v>
      </x:c>
      <x:c r="C101" s="33" t="n">
        <x:v>1</x:v>
      </x:c>
      <x:c r="D101" s="33" t="str">
        <x:v>LP100</x:v>
      </x:c>
      <x:c r="E101" s="33" t="str">
        <x:v>-</x:v>
      </x:c>
      <x:c r="F101" s="33" t="str">
        <x:v>EA</x:v>
      </x:c>
      <x:c r="G101" s="39" t="n">
        <x:v>8</x:v>
      </x:c>
      <x:c r="H101" s="39" t="n">
        <x:v>180000</x:v>
      </x:c>
      <x:c r="I101" s="39" t="n">
        <x:v>1440000</x:v>
      </x:c>
      <x:c r="J101" s="39" t="n">
        <x:f>G101*H101</x:f>
        <x:v>1440000</x:v>
      </x:c>
      <x:c r="K101" s="33" t="str">
        <x:f>IF(I101=J101,"일치","불일치")</x:f>
        <x:v>일치</x:v>
      </x:c>
      <x:c r="L101" s="33" t="str">
        <x:v>레이저장비 부품</x:v>
      </x:c>
      <x:c r="M101" s="34" t="str">
        <x:v>p.1 발주내용 품목표</x:v>
      </x:c>
    </x:row>
    <x:row r="102" ht="24" customHeight="1">
      <x:c r="A102" s="32" t="str">
        <x:v>PO-025</x:v>
      </x:c>
      <x:c r="B102" s="33" t="str">
        <x:v>발주서_25.pdf</x:v>
      </x:c>
      <x:c r="C102" s="33" t="n">
        <x:v>2</x:v>
      </x:c>
      <x:c r="D102" s="33" t="str">
        <x:v>LP2000</x:v>
      </x:c>
      <x:c r="E102" s="33" t="str">
        <x:v>-</x:v>
      </x:c>
      <x:c r="F102" s="33" t="str">
        <x:v>EA</x:v>
      </x:c>
      <x:c r="G102" s="39" t="n">
        <x:v>9</x:v>
      </x:c>
      <x:c r="H102" s="39" t="n">
        <x:v>175000</x:v>
      </x:c>
      <x:c r="I102" s="39" t="n">
        <x:v>1575000</x:v>
      </x:c>
      <x:c r="J102" s="39" t="n">
        <x:f>G102*H102</x:f>
        <x:v>1575000</x:v>
      </x:c>
      <x:c r="K102" s="33" t="str">
        <x:f>IF(I102=J102,"일치","불일치")</x:f>
        <x:v>일치</x:v>
      </x:c>
      <x:c r="L102" s="33" t="str">
        <x:v>레이저장비 프로브</x:v>
      </x:c>
      <x:c r="M102" s="34" t="str">
        <x:v>p.1 발주내용 품목표</x:v>
      </x:c>
    </x:row>
    <x:row r="103" ht="24" customHeight="1">
      <x:c r="A103" s="32" t="str">
        <x:v>PO-025</x:v>
      </x:c>
      <x:c r="B103" s="33" t="str">
        <x:v>발주서_25.pdf</x:v>
      </x:c>
      <x:c r="C103" s="33" t="n">
        <x:v>3</x:v>
      </x:c>
      <x:c r="D103" s="33" t="str">
        <x:v>LR-CORE1</x:v>
      </x:c>
      <x:c r="E103" s="33" t="str">
        <x:v>-</x:v>
      </x:c>
      <x:c r="F103" s="33" t="str">
        <x:v>EA</x:v>
      </x:c>
      <x:c r="G103" s="39" t="n">
        <x:v>13</x:v>
      </x:c>
      <x:c r="H103" s="39" t="n">
        <x:v>4200000</x:v>
      </x:c>
      <x:c r="I103" s="39" t="n">
        <x:v>54600000</x:v>
      </x:c>
      <x:c r="J103" s="39" t="n">
        <x:f>G103*H103</x:f>
        <x:v>54600000</x:v>
      </x:c>
      <x:c r="K103" s="33" t="str">
        <x:f>IF(I103=J103,"일치","불일치")</x:f>
        <x:v>일치</x:v>
      </x:c>
      <x:c r="L103" s="33" t="str">
        <x:v>레이저장비 액세서리</x:v>
      </x:c>
      <x:c r="M103" s="34" t="str">
        <x:v>p.1 발주내용 품목표</x:v>
      </x:c>
    </x:row>
    <x:row r="104" ht="24" customHeight="1">
      <x:c r="A104" s="32" t="str">
        <x:v>PO-025</x:v>
      </x:c>
      <x:c r="B104" s="33" t="str">
        <x:v>발주서_25.pdf</x:v>
      </x:c>
      <x:c r="C104" s="33" t="n">
        <x:v>4</x:v>
      </x:c>
      <x:c r="D104" s="33" t="str">
        <x:v>LP1500</x:v>
      </x:c>
      <x:c r="E104" s="33" t="str">
        <x:v>-</x:v>
      </x:c>
      <x:c r="F104" s="33" t="str">
        <x:v>EA</x:v>
      </x:c>
      <x:c r="G104" s="39" t="n">
        <x:v>10</x:v>
      </x:c>
      <x:c r="H104" s="39" t="n">
        <x:v>145000</x:v>
      </x:c>
      <x:c r="I104" s="39" t="n">
        <x:v>1450000</x:v>
      </x:c>
      <x:c r="J104" s="39" t="n">
        <x:f>G104*H104</x:f>
        <x:v>1450000</x:v>
      </x:c>
      <x:c r="K104" s="33" t="str">
        <x:f>IF(I104=J104,"일치","불일치")</x:f>
        <x:v>일치</x:v>
      </x:c>
      <x:c r="L104" s="33" t="str">
        <x:v>레이저장비 프로브</x:v>
      </x:c>
      <x:c r="M104" s="34" t="str">
        <x:v>p.1 발주내용 품목표</x:v>
      </x:c>
    </x:row>
    <x:row r="105" ht="24" customHeight="1">
      <x:c r="A105" s="32" t="str">
        <x:v>PO-026</x:v>
      </x:c>
      <x:c r="B105" s="33" t="str">
        <x:v>발주서_26.pdf</x:v>
      </x:c>
      <x:c r="C105" s="33" t="n">
        <x:v>1</x:v>
      </x:c>
      <x:c r="D105" s="33" t="str">
        <x:v>LP2000</x:v>
      </x:c>
      <x:c r="E105" s="33" t="str">
        <x:v>-</x:v>
      </x:c>
      <x:c r="F105" s="33" t="str">
        <x:v>EA</x:v>
      </x:c>
      <x:c r="G105" s="39" t="n">
        <x:v>4</x:v>
      </x:c>
      <x:c r="H105" s="39" t="n">
        <x:v>175000</x:v>
      </x:c>
      <x:c r="I105" s="39" t="n">
        <x:v>700000</x:v>
      </x:c>
      <x:c r="J105" s="39" t="n">
        <x:f>G105*H105</x:f>
        <x:v>700000</x:v>
      </x:c>
      <x:c r="K105" s="33" t="str">
        <x:f>IF(I105=J105,"일치","불일치")</x:f>
        <x:v>일치</x:v>
      </x:c>
      <x:c r="L105" s="33" t="str">
        <x:v>레이저장비 프로브</x:v>
      </x:c>
      <x:c r="M105" s="34" t="str">
        <x:v>p.1 발주내용 품목표</x:v>
      </x:c>
    </x:row>
    <x:row r="106" ht="24" customHeight="1">
      <x:c r="A106" s="32" t="str">
        <x:v>PO-026</x:v>
      </x:c>
      <x:c r="B106" s="33" t="str">
        <x:v>발주서_26.pdf</x:v>
      </x:c>
      <x:c r="C106" s="33" t="n">
        <x:v>2</x:v>
      </x:c>
      <x:c r="D106" s="33" t="str">
        <x:v>LR-CORE2</x:v>
      </x:c>
      <x:c r="E106" s="33" t="str">
        <x:v>-</x:v>
      </x:c>
      <x:c r="F106" s="33" t="str">
        <x:v>EA</x:v>
      </x:c>
      <x:c r="G106" s="39" t="n">
        <x:v>8</x:v>
      </x:c>
      <x:c r="H106" s="39" t="n">
        <x:v>4800000</x:v>
      </x:c>
      <x:c r="I106" s="39" t="n">
        <x:v>38400000</x:v>
      </x:c>
      <x:c r="J106" s="39" t="n">
        <x:f>G106*H106</x:f>
        <x:v>38400000</x:v>
      </x:c>
      <x:c r="K106" s="33" t="str">
        <x:f>IF(I106=J106,"일치","불일치")</x:f>
        <x:v>일치</x:v>
      </x:c>
      <x:c r="L106" s="33" t="str">
        <x:v>레이저장비 액세서리</x:v>
      </x:c>
      <x:c r="M106" s="34" t="str">
        <x:v>p.1 발주내용 품목표</x:v>
      </x:c>
    </x:row>
    <x:row r="107" ht="24" customHeight="1">
      <x:c r="A107" s="32" t="str">
        <x:v>PO-026</x:v>
      </x:c>
      <x:c r="B107" s="33" t="str">
        <x:v>발주서_26.pdf</x:v>
      </x:c>
      <x:c r="C107" s="33" t="n">
        <x:v>3</x:v>
      </x:c>
      <x:c r="D107" s="33" t="str">
        <x:v>LP100</x:v>
      </x:c>
      <x:c r="E107" s="33" t="str">
        <x:v>-</x:v>
      </x:c>
      <x:c r="F107" s="33" t="str">
        <x:v>EA</x:v>
      </x:c>
      <x:c r="G107" s="39" t="n">
        <x:v>15</x:v>
      </x:c>
      <x:c r="H107" s="39" t="n">
        <x:v>180000</x:v>
      </x:c>
      <x:c r="I107" s="39" t="n">
        <x:v>2700000</x:v>
      </x:c>
      <x:c r="J107" s="39" t="n">
        <x:f>G107*H107</x:f>
        <x:v>2700000</x:v>
      </x:c>
      <x:c r="K107" s="33" t="str">
        <x:f>IF(I107=J107,"일치","불일치")</x:f>
        <x:v>일치</x:v>
      </x:c>
      <x:c r="L107" s="33" t="str">
        <x:v>레이저장비 부품</x:v>
      </x:c>
      <x:c r="M107" s="34" t="str">
        <x:v>p.1 발주내용 품목표</x:v>
      </x:c>
    </x:row>
    <x:row r="108" ht="24" customHeight="1">
      <x:c r="A108" s="32" t="str">
        <x:v>PO-026</x:v>
      </x:c>
      <x:c r="B108" s="33" t="str">
        <x:v>발주서_26.pdf</x:v>
      </x:c>
      <x:c r="C108" s="33" t="n">
        <x:v>4</x:v>
      </x:c>
      <x:c r="D108" s="33" t="str">
        <x:v>LR-CORE1</x:v>
      </x:c>
      <x:c r="E108" s="33" t="str">
        <x:v>-</x:v>
      </x:c>
      <x:c r="F108" s="33" t="str">
        <x:v>EA</x:v>
      </x:c>
      <x:c r="G108" s="39" t="n">
        <x:v>8</x:v>
      </x:c>
      <x:c r="H108" s="39" t="n">
        <x:v>4200000</x:v>
      </x:c>
      <x:c r="I108" s="39" t="n">
        <x:v>33600000</x:v>
      </x:c>
      <x:c r="J108" s="39" t="n">
        <x:f>G108*H108</x:f>
        <x:v>33600000</x:v>
      </x:c>
      <x:c r="K108" s="33" t="str">
        <x:f>IF(I108=J108,"일치","불일치")</x:f>
        <x:v>일치</x:v>
      </x:c>
      <x:c r="L108" s="33" t="str">
        <x:v>레이저장비 액세서리</x:v>
      </x:c>
      <x:c r="M108" s="34" t="str">
        <x:v>p.1 발주내용 품목표</x:v>
      </x:c>
    </x:row>
    <x:row r="109" ht="24" customHeight="1">
      <x:c r="A109" s="32" t="str">
        <x:v>PO-027</x:v>
      </x:c>
      <x:c r="B109" s="33" t="str">
        <x:v>발주서_27.pdf</x:v>
      </x:c>
      <x:c r="C109" s="33" t="n">
        <x:v>1</x:v>
      </x:c>
      <x:c r="D109" s="33" t="str">
        <x:v>LP100</x:v>
      </x:c>
      <x:c r="E109" s="33" t="str">
        <x:v>-</x:v>
      </x:c>
      <x:c r="F109" s="33" t="str">
        <x:v>EA</x:v>
      </x:c>
      <x:c r="G109" s="39" t="n">
        <x:v>12</x:v>
      </x:c>
      <x:c r="H109" s="39" t="n">
        <x:v>180000</x:v>
      </x:c>
      <x:c r="I109" s="39" t="n">
        <x:v>2160000</x:v>
      </x:c>
      <x:c r="J109" s="39" t="n">
        <x:f>G109*H109</x:f>
        <x:v>2160000</x:v>
      </x:c>
      <x:c r="K109" s="33" t="str">
        <x:f>IF(I109=J109,"일치","불일치")</x:f>
        <x:v>일치</x:v>
      </x:c>
      <x:c r="L109" s="33" t="str">
        <x:v>레이저장비 부품</x:v>
      </x:c>
      <x:c r="M109" s="34" t="str">
        <x:v>p.1 발주내용 품목표</x:v>
      </x:c>
    </x:row>
    <x:row r="110" ht="24" customHeight="1">
      <x:c r="A110" s="32" t="str">
        <x:v>PO-027</x:v>
      </x:c>
      <x:c r="B110" s="33" t="str">
        <x:v>발주서_27.pdf</x:v>
      </x:c>
      <x:c r="C110" s="33" t="n">
        <x:v>2</x:v>
      </x:c>
      <x:c r="D110" s="33" t="str">
        <x:v>LR-CORE1</x:v>
      </x:c>
      <x:c r="E110" s="33" t="str">
        <x:v>-</x:v>
      </x:c>
      <x:c r="F110" s="33" t="str">
        <x:v>EA</x:v>
      </x:c>
      <x:c r="G110" s="39" t="n">
        <x:v>15</x:v>
      </x:c>
      <x:c r="H110" s="39" t="n">
        <x:v>4200000</x:v>
      </x:c>
      <x:c r="I110" s="39" t="n">
        <x:v>63000000</x:v>
      </x:c>
      <x:c r="J110" s="39" t="n">
        <x:f>G110*H110</x:f>
        <x:v>63000000</x:v>
      </x:c>
      <x:c r="K110" s="33" t="str">
        <x:f>IF(I110=J110,"일치","불일치")</x:f>
        <x:v>일치</x:v>
      </x:c>
      <x:c r="L110" s="33" t="str">
        <x:v>레이저장비 액세서리</x:v>
      </x:c>
      <x:c r="M110" s="34" t="str">
        <x:v>p.1 발주내용 품목표</x:v>
      </x:c>
    </x:row>
    <x:row r="111" ht="24" customHeight="1">
      <x:c r="A111" s="32" t="str">
        <x:v>PO-027</x:v>
      </x:c>
      <x:c r="B111" s="33" t="str">
        <x:v>발주서_27.pdf</x:v>
      </x:c>
      <x:c r="C111" s="33" t="n">
        <x:v>3</x:v>
      </x:c>
      <x:c r="D111" s="33" t="str">
        <x:v>LP1000</x:v>
      </x:c>
      <x:c r="E111" s="33" t="str">
        <x:v>-</x:v>
      </x:c>
      <x:c r="F111" s="33" t="str">
        <x:v>EA</x:v>
      </x:c>
      <x:c r="G111" s="39" t="n">
        <x:v>8</x:v>
      </x:c>
      <x:c r="H111" s="39" t="n">
        <x:v>130000</x:v>
      </x:c>
      <x:c r="I111" s="39" t="n">
        <x:v>1040000</x:v>
      </x:c>
      <x:c r="J111" s="39" t="n">
        <x:f>G111*H111</x:f>
        <x:v>1040000</x:v>
      </x:c>
      <x:c r="K111" s="33" t="str">
        <x:f>IF(I111=J111,"일치","불일치")</x:f>
        <x:v>일치</x:v>
      </x:c>
      <x:c r="L111" s="33" t="str">
        <x:v>레이저장비 프로브</x:v>
      </x:c>
      <x:c r="M111" s="34" t="str">
        <x:v>p.1 발주내용 품목표</x:v>
      </x:c>
    </x:row>
    <x:row r="112" ht="24" customHeight="1">
      <x:c r="A112" s="32" t="str">
        <x:v>PO-027</x:v>
      </x:c>
      <x:c r="B112" s="33" t="str">
        <x:v>발주서_27.pdf</x:v>
      </x:c>
      <x:c r="C112" s="33" t="n">
        <x:v>4</x:v>
      </x:c>
      <x:c r="D112" s="33" t="str">
        <x:v>LP200</x:v>
      </x:c>
      <x:c r="E112" s="33" t="str">
        <x:v>-</x:v>
      </x:c>
      <x:c r="F112" s="33" t="str">
        <x:v>EA</x:v>
      </x:c>
      <x:c r="G112" s="39" t="n">
        <x:v>4</x:v>
      </x:c>
      <x:c r="H112" s="39" t="n">
        <x:v>240000</x:v>
      </x:c>
      <x:c r="I112" s="39" t="n">
        <x:v>960000</x:v>
      </x:c>
      <x:c r="J112" s="39" t="n">
        <x:f>G112*H112</x:f>
        <x:v>960000</x:v>
      </x:c>
      <x:c r="K112" s="33" t="str">
        <x:f>IF(I112=J112,"일치","불일치")</x:f>
        <x:v>일치</x:v>
      </x:c>
      <x:c r="L112" s="33" t="str">
        <x:v>레이저장비 부품</x:v>
      </x:c>
      <x:c r="M112" s="34" t="str">
        <x:v>p.1 발주내용 품목표</x:v>
      </x:c>
    </x:row>
    <x:row r="113" ht="24" customHeight="1">
      <x:c r="A113" s="32" t="str">
        <x:v>PO-028</x:v>
      </x:c>
      <x:c r="B113" s="33" t="str">
        <x:v>발주서_28.pdf</x:v>
      </x:c>
      <x:c r="C113" s="33" t="n">
        <x:v>1</x:v>
      </x:c>
      <x:c r="D113" s="33" t="str">
        <x:v>LR2000</x:v>
      </x:c>
      <x:c r="E113" s="33" t="str">
        <x:v>-</x:v>
      </x:c>
      <x:c r="F113" s="33" t="str">
        <x:v>EA</x:v>
      </x:c>
      <x:c r="G113" s="39" t="n">
        <x:v>13</x:v>
      </x:c>
      <x:c r="H113" s="39" t="n">
        <x:v>5200000</x:v>
      </x:c>
      <x:c r="I113" s="39" t="n">
        <x:v>67600000</x:v>
      </x:c>
      <x:c r="J113" s="39" t="n">
        <x:f>G113*H113</x:f>
        <x:v>67600000</x:v>
      </x:c>
      <x:c r="K113" s="33" t="str">
        <x:f>IF(I113=J113,"일치","불일치")</x:f>
        <x:v>일치</x:v>
      </x:c>
      <x:c r="L113" s="33" t="str">
        <x:v>레이저장비 시스템</x:v>
      </x:c>
      <x:c r="M113" s="34" t="str">
        <x:v>p.1 발주내용 품목표</x:v>
      </x:c>
    </x:row>
    <x:row r="114" ht="24" customHeight="1">
      <x:c r="A114" s="32" t="str">
        <x:v>PO-028</x:v>
      </x:c>
      <x:c r="B114" s="33" t="str">
        <x:v>발주서_28.pdf</x:v>
      </x:c>
      <x:c r="C114" s="33" t="n">
        <x:v>2</x:v>
      </x:c>
      <x:c r="D114" s="33" t="str">
        <x:v>LP1000</x:v>
      </x:c>
      <x:c r="E114" s="33" t="str">
        <x:v>-</x:v>
      </x:c>
      <x:c r="F114" s="33" t="str">
        <x:v>EA</x:v>
      </x:c>
      <x:c r="G114" s="39" t="n">
        <x:v>8</x:v>
      </x:c>
      <x:c r="H114" s="39" t="n">
        <x:v>130000</x:v>
      </x:c>
      <x:c r="I114" s="39" t="n">
        <x:v>1040000</x:v>
      </x:c>
      <x:c r="J114" s="39" t="n">
        <x:f>G114*H114</x:f>
        <x:v>1040000</x:v>
      </x:c>
      <x:c r="K114" s="33" t="str">
        <x:f>IF(I114=J114,"일치","불일치")</x:f>
        <x:v>일치</x:v>
      </x:c>
      <x:c r="L114" s="33" t="str">
        <x:v>레이저장비 프로브</x:v>
      </x:c>
      <x:c r="M114" s="34" t="str">
        <x:v>p.1 발주내용 품목표</x:v>
      </x:c>
    </x:row>
    <x:row r="115" ht="24" customHeight="1">
      <x:c r="A115" s="32" t="str">
        <x:v>PO-028</x:v>
      </x:c>
      <x:c r="B115" s="33" t="str">
        <x:v>발주서_28.pdf</x:v>
      </x:c>
      <x:c r="C115" s="33" t="n">
        <x:v>3</x:v>
      </x:c>
      <x:c r="D115" s="33" t="str">
        <x:v>LP2000</x:v>
      </x:c>
      <x:c r="E115" s="33" t="str">
        <x:v>-</x:v>
      </x:c>
      <x:c r="F115" s="33" t="str">
        <x:v>EA</x:v>
      </x:c>
      <x:c r="G115" s="39" t="n">
        <x:v>4</x:v>
      </x:c>
      <x:c r="H115" s="39" t="n">
        <x:v>175000</x:v>
      </x:c>
      <x:c r="I115" s="39" t="n">
        <x:v>700000</x:v>
      </x:c>
      <x:c r="J115" s="39" t="n">
        <x:f>G115*H115</x:f>
        <x:v>700000</x:v>
      </x:c>
      <x:c r="K115" s="33" t="str">
        <x:f>IF(I115=J115,"일치","불일치")</x:f>
        <x:v>일치</x:v>
      </x:c>
      <x:c r="L115" s="33" t="str">
        <x:v>레이저장비 프로브</x:v>
      </x:c>
      <x:c r="M115" s="34" t="str">
        <x:v>p.1 발주내용 품목표</x:v>
      </x:c>
    </x:row>
    <x:row r="116" ht="24" customHeight="1">
      <x:c r="A116" s="32" t="str">
        <x:v>PO-028</x:v>
      </x:c>
      <x:c r="B116" s="33" t="str">
        <x:v>발주서_28.pdf</x:v>
      </x:c>
      <x:c r="C116" s="33" t="n">
        <x:v>4</x:v>
      </x:c>
      <x:c r="D116" s="33" t="str">
        <x:v>LP1500</x:v>
      </x:c>
      <x:c r="E116" s="33" t="str">
        <x:v>-</x:v>
      </x:c>
      <x:c r="F116" s="33" t="str">
        <x:v>EA</x:v>
      </x:c>
      <x:c r="G116" s="39" t="n">
        <x:v>9</x:v>
      </x:c>
      <x:c r="H116" s="39" t="n">
        <x:v>145000</x:v>
      </x:c>
      <x:c r="I116" s="39" t="n">
        <x:v>1305000</x:v>
      </x:c>
      <x:c r="J116" s="39" t="n">
        <x:f>G116*H116</x:f>
        <x:v>1305000</x:v>
      </x:c>
      <x:c r="K116" s="33" t="str">
        <x:f>IF(I116=J116,"일치","불일치")</x:f>
        <x:v>일치</x:v>
      </x:c>
      <x:c r="L116" s="33" t="str">
        <x:v>레이저장비 프로브</x:v>
      </x:c>
      <x:c r="M116" s="34" t="str">
        <x:v>p.1 발주내용 품목표</x:v>
      </x:c>
    </x:row>
    <x:row r="117" ht="24" customHeight="1">
      <x:c r="A117" s="32" t="str">
        <x:v>PO-029</x:v>
      </x:c>
      <x:c r="B117" s="33" t="str">
        <x:v>발주서_29.pdf</x:v>
      </x:c>
      <x:c r="C117" s="33" t="n">
        <x:v>1</x:v>
      </x:c>
      <x:c r="D117" s="33" t="str">
        <x:v>LR-PRO</x:v>
      </x:c>
      <x:c r="E117" s="33" t="str">
        <x:v>-</x:v>
      </x:c>
      <x:c r="F117" s="33" t="str">
        <x:v>EA</x:v>
      </x:c>
      <x:c r="G117" s="39" t="n">
        <x:v>13</x:v>
      </x:c>
      <x:c r="H117" s="39" t="n">
        <x:v>6000000</x:v>
      </x:c>
      <x:c r="I117" s="39" t="n">
        <x:v>78000000</x:v>
      </x:c>
      <x:c r="J117" s="39" t="n">
        <x:f>G117*H117</x:f>
        <x:v>78000000</x:v>
      </x:c>
      <x:c r="K117" s="33" t="str">
        <x:f>IF(I117=J117,"일치","불일치")</x:f>
        <x:v>일치</x:v>
      </x:c>
      <x:c r="L117" s="33" t="str">
        <x:v>레이저장비 시스템</x:v>
      </x:c>
      <x:c r="M117" s="34" t="str">
        <x:v>p.1 발주내용 품목표</x:v>
      </x:c>
    </x:row>
    <x:row r="118" ht="24" customHeight="1">
      <x:c r="A118" s="32" t="str">
        <x:v>PO-029</x:v>
      </x:c>
      <x:c r="B118" s="33" t="str">
        <x:v>발주서_29.pdf</x:v>
      </x:c>
      <x:c r="C118" s="33" t="n">
        <x:v>2</x:v>
      </x:c>
      <x:c r="D118" s="33" t="str">
        <x:v>LR-CORE3</x:v>
      </x:c>
      <x:c r="E118" s="33" t="str">
        <x:v>-</x:v>
      </x:c>
      <x:c r="F118" s="33" t="str">
        <x:v>EA</x:v>
      </x:c>
      <x:c r="G118" s="39" t="n">
        <x:v>14</x:v>
      </x:c>
      <x:c r="H118" s="39" t="n">
        <x:v>60000</x:v>
      </x:c>
      <x:c r="I118" s="39" t="n">
        <x:v>840000</x:v>
      </x:c>
      <x:c r="J118" s="39" t="n">
        <x:f>G118*H118</x:f>
        <x:v>840000</x:v>
      </x:c>
      <x:c r="K118" s="33" t="str">
        <x:f>IF(I118=J118,"일치","불일치")</x:f>
        <x:v>일치</x:v>
      </x:c>
      <x:c r="L118" s="33" t="str">
        <x:v>레이저장비 액세서리</x:v>
      </x:c>
      <x:c r="M118" s="34" t="str">
        <x:v>p.1 발주내용 품목표</x:v>
      </x:c>
    </x:row>
    <x:row r="119" ht="24" customHeight="1">
      <x:c r="A119" s="32" t="str">
        <x:v>PO-029</x:v>
      </x:c>
      <x:c r="B119" s="33" t="str">
        <x:v>발주서_29.pdf</x:v>
      </x:c>
      <x:c r="C119" s="33" t="n">
        <x:v>3</x:v>
      </x:c>
      <x:c r="D119" s="33" t="str">
        <x:v>LP200</x:v>
      </x:c>
      <x:c r="E119" s="33" t="str">
        <x:v>-</x:v>
      </x:c>
      <x:c r="F119" s="33" t="str">
        <x:v>EA</x:v>
      </x:c>
      <x:c r="G119" s="39" t="n">
        <x:v>14</x:v>
      </x:c>
      <x:c r="H119" s="39" t="n">
        <x:v>240000</x:v>
      </x:c>
      <x:c r="I119" s="39" t="n">
        <x:v>3360000</x:v>
      </x:c>
      <x:c r="J119" s="39" t="n">
        <x:f>G119*H119</x:f>
        <x:v>3360000</x:v>
      </x:c>
      <x:c r="K119" s="33" t="str">
        <x:f>IF(I119=J119,"일치","불일치")</x:f>
        <x:v>일치</x:v>
      </x:c>
      <x:c r="L119" s="33" t="str">
        <x:v>레이저장비 부품</x:v>
      </x:c>
      <x:c r="M119" s="34" t="str">
        <x:v>p.1 발주내용 품목표</x:v>
      </x:c>
    </x:row>
    <x:row r="120" ht="24" customHeight="1">
      <x:c r="A120" s="32" t="str">
        <x:v>PO-029</x:v>
      </x:c>
      <x:c r="B120" s="33" t="str">
        <x:v>발주서_29.pdf</x:v>
      </x:c>
      <x:c r="C120" s="33" t="n">
        <x:v>4</x:v>
      </x:c>
      <x:c r="D120" s="33" t="str">
        <x:v>LP1500</x:v>
      </x:c>
      <x:c r="E120" s="33" t="str">
        <x:v>-</x:v>
      </x:c>
      <x:c r="F120" s="33" t="str">
        <x:v>EA</x:v>
      </x:c>
      <x:c r="G120" s="39" t="n">
        <x:v>2</x:v>
      </x:c>
      <x:c r="H120" s="39" t="n">
        <x:v>145000</x:v>
      </x:c>
      <x:c r="I120" s="39" t="n">
        <x:v>290000</x:v>
      </x:c>
      <x:c r="J120" s="39" t="n">
        <x:f>G120*H120</x:f>
        <x:v>290000</x:v>
      </x:c>
      <x:c r="K120" s="33" t="str">
        <x:f>IF(I120=J120,"일치","불일치")</x:f>
        <x:v>일치</x:v>
      </x:c>
      <x:c r="L120" s="33" t="str">
        <x:v>레이저장비 프로브</x:v>
      </x:c>
      <x:c r="M120" s="34" t="str">
        <x:v>p.1 발주내용 품목표</x:v>
      </x:c>
    </x:row>
    <x:row r="121" ht="24" customHeight="1">
      <x:c r="A121" s="32" t="str">
        <x:v>PO-030</x:v>
      </x:c>
      <x:c r="B121" s="33" t="str">
        <x:v>발주서_30.pdf</x:v>
      </x:c>
      <x:c r="C121" s="33" t="n">
        <x:v>1</x:v>
      </x:c>
      <x:c r="D121" s="33" t="str">
        <x:v>LR1000</x:v>
      </x:c>
      <x:c r="E121" s="33" t="str">
        <x:v>-</x:v>
      </x:c>
      <x:c r="F121" s="33" t="str">
        <x:v>EA</x:v>
      </x:c>
      <x:c r="G121" s="39" t="n">
        <x:v>13</x:v>
      </x:c>
      <x:c r="H121" s="39" t="n">
        <x:v>4500000</x:v>
      </x:c>
      <x:c r="I121" s="39" t="n">
        <x:v>58500000</x:v>
      </x:c>
      <x:c r="J121" s="39" t="n">
        <x:f>G121*H121</x:f>
        <x:v>58500000</x:v>
      </x:c>
      <x:c r="K121" s="33" t="str">
        <x:f>IF(I121=J121,"일치","불일치")</x:f>
        <x:v>일치</x:v>
      </x:c>
      <x:c r="L121" s="33" t="str">
        <x:v>레이저장비 시스템</x:v>
      </x:c>
      <x:c r="M121" s="34" t="str">
        <x:v>p.1 발주내용 품목표</x:v>
      </x:c>
    </x:row>
    <x:row r="122" ht="24" customHeight="1">
      <x:c r="A122" s="32" t="str">
        <x:v>PO-030</x:v>
      </x:c>
      <x:c r="B122" s="33" t="str">
        <x:v>발주서_30.pdf</x:v>
      </x:c>
      <x:c r="C122" s="33" t="n">
        <x:v>2</x:v>
      </x:c>
      <x:c r="D122" s="33" t="str">
        <x:v>LR-CORE1</x:v>
      </x:c>
      <x:c r="E122" s="33" t="str">
        <x:v>-</x:v>
      </x:c>
      <x:c r="F122" s="33" t="str">
        <x:v>EA</x:v>
      </x:c>
      <x:c r="G122" s="39" t="n">
        <x:v>3</x:v>
      </x:c>
      <x:c r="H122" s="39" t="n">
        <x:v>4200000</x:v>
      </x:c>
      <x:c r="I122" s="39" t="n">
        <x:v>12600000</x:v>
      </x:c>
      <x:c r="J122" s="39" t="n">
        <x:f>G122*H122</x:f>
        <x:v>12600000</x:v>
      </x:c>
      <x:c r="K122" s="33" t="str">
        <x:f>IF(I122=J122,"일치","불일치")</x:f>
        <x:v>일치</x:v>
      </x:c>
      <x:c r="L122" s="33" t="str">
        <x:v>레이저장비 액세서리</x:v>
      </x:c>
      <x:c r="M122" s="34" t="str">
        <x:v>p.1 발주내용 품목표</x:v>
      </x:c>
    </x:row>
    <x:row r="123" ht="24" customHeight="1">
      <x:c r="A123" s="32" t="str">
        <x:v>PO-030</x:v>
      </x:c>
      <x:c r="B123" s="33" t="str">
        <x:v>발주서_30.pdf</x:v>
      </x:c>
      <x:c r="C123" s="33" t="n">
        <x:v>3</x:v>
      </x:c>
      <x:c r="D123" s="33" t="str">
        <x:v>LR-PRO</x:v>
      </x:c>
      <x:c r="E123" s="33" t="str">
        <x:v>-</x:v>
      </x:c>
      <x:c r="F123" s="33" t="str">
        <x:v>EA</x:v>
      </x:c>
      <x:c r="G123" s="39" t="n">
        <x:v>2</x:v>
      </x:c>
      <x:c r="H123" s="39" t="n">
        <x:v>6000000</x:v>
      </x:c>
      <x:c r="I123" s="39" t="n">
        <x:v>12000000</x:v>
      </x:c>
      <x:c r="J123" s="39" t="n">
        <x:f>G123*H123</x:f>
        <x:v>12000000</x:v>
      </x:c>
      <x:c r="K123" s="33" t="str">
        <x:f>IF(I123=J123,"일치","불일치")</x:f>
        <x:v>일치</x:v>
      </x:c>
      <x:c r="L123" s="33" t="str">
        <x:v>레이저장비 시스템</x:v>
      </x:c>
      <x:c r="M123" s="34" t="str">
        <x:v>p.1 발주내용 품목표</x:v>
      </x:c>
    </x:row>
    <x:row r="124" ht="24" customHeight="1">
      <x:c r="A124" s="32" t="str">
        <x:v>PO-030</x:v>
      </x:c>
      <x:c r="B124" s="33" t="str">
        <x:v>발주서_30.pdf</x:v>
      </x:c>
      <x:c r="C124" s="33" t="n">
        <x:v>4</x:v>
      </x:c>
      <x:c r="D124" s="33" t="str">
        <x:v>LP100</x:v>
      </x:c>
      <x:c r="E124" s="33" t="str">
        <x:v>-</x:v>
      </x:c>
      <x:c r="F124" s="33" t="str">
        <x:v>EA</x:v>
      </x:c>
      <x:c r="G124" s="39" t="n">
        <x:v>11</x:v>
      </x:c>
      <x:c r="H124" s="39" t="n">
        <x:v>180000</x:v>
      </x:c>
      <x:c r="I124" s="39" t="n">
        <x:v>1980000</x:v>
      </x:c>
      <x:c r="J124" s="39" t="n">
        <x:f>G124*H124</x:f>
        <x:v>1980000</x:v>
      </x:c>
      <x:c r="K124" s="33" t="str">
        <x:f>IF(I124=J124,"일치","불일치")</x:f>
        <x:v>일치</x:v>
      </x:c>
      <x:c r="L124" s="33" t="str">
        <x:v>레이저장비 부품</x:v>
      </x:c>
      <x:c r="M124" s="34" t="str">
        <x:v>p.1 발주내용 품목표</x:v>
      </x:c>
    </x:row>
    <x:row r="125" ht="24" customHeight="1">
      <x:c r="A125" s="32" t="str">
        <x:v>PO-031</x:v>
      </x:c>
      <x:c r="B125" s="33" t="str">
        <x:v>발주서_31.pdf</x:v>
      </x:c>
      <x:c r="C125" s="33" t="n">
        <x:v>1</x:v>
      </x:c>
      <x:c r="D125" s="33" t="str">
        <x:v>LR2000</x:v>
      </x:c>
      <x:c r="E125" s="33" t="str">
        <x:v>-</x:v>
      </x:c>
      <x:c r="F125" s="33" t="str">
        <x:v>EA</x:v>
      </x:c>
      <x:c r="G125" s="39" t="n">
        <x:v>8</x:v>
      </x:c>
      <x:c r="H125" s="39" t="n">
        <x:v>5200000</x:v>
      </x:c>
      <x:c r="I125" s="39" t="n">
        <x:v>41600000</x:v>
      </x:c>
      <x:c r="J125" s="39" t="n">
        <x:f>G125*H125</x:f>
        <x:v>41600000</x:v>
      </x:c>
      <x:c r="K125" s="33" t="str">
        <x:f>IF(I125=J125,"일치","불일치")</x:f>
        <x:v>일치</x:v>
      </x:c>
      <x:c r="L125" s="33" t="str">
        <x:v>레이저장비 시스템</x:v>
      </x:c>
      <x:c r="M125" s="34" t="str">
        <x:v>p.1 발주내용 품목표</x:v>
      </x:c>
    </x:row>
    <x:row r="126" ht="24" customHeight="1">
      <x:c r="A126" s="32" t="str">
        <x:v>PO-031</x:v>
      </x:c>
      <x:c r="B126" s="33" t="str">
        <x:v>발주서_31.pdf</x:v>
      </x:c>
      <x:c r="C126" s="33" t="n">
        <x:v>2</x:v>
      </x:c>
      <x:c r="D126" s="33" t="str">
        <x:v>LP2000</x:v>
      </x:c>
      <x:c r="E126" s="33" t="str">
        <x:v>-</x:v>
      </x:c>
      <x:c r="F126" s="33" t="str">
        <x:v>EA</x:v>
      </x:c>
      <x:c r="G126" s="39" t="n">
        <x:v>10</x:v>
      </x:c>
      <x:c r="H126" s="39" t="n">
        <x:v>175000</x:v>
      </x:c>
      <x:c r="I126" s="39" t="n">
        <x:v>1750000</x:v>
      </x:c>
      <x:c r="J126" s="39" t="n">
        <x:f>G126*H126</x:f>
        <x:v>1750000</x:v>
      </x:c>
      <x:c r="K126" s="33" t="str">
        <x:f>IF(I126=J126,"일치","불일치")</x:f>
        <x:v>일치</x:v>
      </x:c>
      <x:c r="L126" s="33" t="str">
        <x:v>레이저장비 프로브</x:v>
      </x:c>
      <x:c r="M126" s="34" t="str">
        <x:v>p.1 발주내용 품목표</x:v>
      </x:c>
    </x:row>
    <x:row r="127" ht="24" customHeight="1">
      <x:c r="A127" s="32" t="str">
        <x:v>PO-031</x:v>
      </x:c>
      <x:c r="B127" s="33" t="str">
        <x:v>발주서_31.pdf</x:v>
      </x:c>
      <x:c r="C127" s="33" t="n">
        <x:v>3</x:v>
      </x:c>
      <x:c r="D127" s="33" t="str">
        <x:v>LP1500</x:v>
      </x:c>
      <x:c r="E127" s="33" t="str">
        <x:v>-</x:v>
      </x:c>
      <x:c r="F127" s="33" t="str">
        <x:v>EA</x:v>
      </x:c>
      <x:c r="G127" s="39" t="n">
        <x:v>2</x:v>
      </x:c>
      <x:c r="H127" s="39" t="n">
        <x:v>145000</x:v>
      </x:c>
      <x:c r="I127" s="39" t="n">
        <x:v>290000</x:v>
      </x:c>
      <x:c r="J127" s="39" t="n">
        <x:f>G127*H127</x:f>
        <x:v>290000</x:v>
      </x:c>
      <x:c r="K127" s="33" t="str">
        <x:f>IF(I127=J127,"일치","불일치")</x:f>
        <x:v>일치</x:v>
      </x:c>
      <x:c r="L127" s="33" t="str">
        <x:v>레이저장비 프로브</x:v>
      </x:c>
      <x:c r="M127" s="34" t="str">
        <x:v>p.1 발주내용 품목표</x:v>
      </x:c>
    </x:row>
    <x:row r="128" ht="24" customHeight="1">
      <x:c r="A128" s="32" t="str">
        <x:v>PO-031</x:v>
      </x:c>
      <x:c r="B128" s="33" t="str">
        <x:v>발주서_31.pdf</x:v>
      </x:c>
      <x:c r="C128" s="33" t="n">
        <x:v>4</x:v>
      </x:c>
      <x:c r="D128" s="33" t="str">
        <x:v>LR-CORE3</x:v>
      </x:c>
      <x:c r="E128" s="33" t="str">
        <x:v>-</x:v>
      </x:c>
      <x:c r="F128" s="33" t="str">
        <x:v>EA</x:v>
      </x:c>
      <x:c r="G128" s="39" t="n">
        <x:v>13</x:v>
      </x:c>
      <x:c r="H128" s="39" t="n">
        <x:v>60000</x:v>
      </x:c>
      <x:c r="I128" s="39" t="n">
        <x:v>780000</x:v>
      </x:c>
      <x:c r="J128" s="39" t="n">
        <x:f>G128*H128</x:f>
        <x:v>780000</x:v>
      </x:c>
      <x:c r="K128" s="33" t="str">
        <x:f>IF(I128=J128,"일치","불일치")</x:f>
        <x:v>일치</x:v>
      </x:c>
      <x:c r="L128" s="33" t="str">
        <x:v>레이저장비 액세서리</x:v>
      </x:c>
      <x:c r="M128" s="34" t="str">
        <x:v>p.1 발주내용 품목표</x:v>
      </x:c>
    </x:row>
    <x:row r="129" ht="24" customHeight="1">
      <x:c r="A129" s="32" t="str">
        <x:v>PO-032</x:v>
      </x:c>
      <x:c r="B129" s="33" t="str">
        <x:v>발주서_32.pdf</x:v>
      </x:c>
      <x:c r="C129" s="33" t="n">
        <x:v>1</x:v>
      </x:c>
      <x:c r="D129" s="33" t="str">
        <x:v>LP1500</x:v>
      </x:c>
      <x:c r="E129" s="33" t="str">
        <x:v>-</x:v>
      </x:c>
      <x:c r="F129" s="33" t="str">
        <x:v>EA</x:v>
      </x:c>
      <x:c r="G129" s="39" t="n">
        <x:v>9</x:v>
      </x:c>
      <x:c r="H129" s="39" t="n">
        <x:v>145000</x:v>
      </x:c>
      <x:c r="I129" s="39" t="n">
        <x:v>1305000</x:v>
      </x:c>
      <x:c r="J129" s="39" t="n">
        <x:f>G129*H129</x:f>
        <x:v>1305000</x:v>
      </x:c>
      <x:c r="K129" s="33" t="str">
        <x:f>IF(I129=J129,"일치","불일치")</x:f>
        <x:v>일치</x:v>
      </x:c>
      <x:c r="L129" s="33" t="str">
        <x:v>레이저장비 프로브</x:v>
      </x:c>
      <x:c r="M129" s="34" t="str">
        <x:v>p.1 발주내용 품목표</x:v>
      </x:c>
    </x:row>
    <x:row r="130" ht="24" customHeight="1">
      <x:c r="A130" s="32" t="str">
        <x:v>PO-032</x:v>
      </x:c>
      <x:c r="B130" s="33" t="str">
        <x:v>발주서_32.pdf</x:v>
      </x:c>
      <x:c r="C130" s="33" t="n">
        <x:v>2</x:v>
      </x:c>
      <x:c r="D130" s="33" t="str">
        <x:v>LP1000</x:v>
      </x:c>
      <x:c r="E130" s="33" t="str">
        <x:v>-</x:v>
      </x:c>
      <x:c r="F130" s="33" t="str">
        <x:v>EA</x:v>
      </x:c>
      <x:c r="G130" s="39" t="n">
        <x:v>8</x:v>
      </x:c>
      <x:c r="H130" s="39" t="n">
        <x:v>130000</x:v>
      </x:c>
      <x:c r="I130" s="39" t="n">
        <x:v>1040000</x:v>
      </x:c>
      <x:c r="J130" s="39" t="n">
        <x:f>G130*H130</x:f>
        <x:v>1040000</x:v>
      </x:c>
      <x:c r="K130" s="33" t="str">
        <x:f>IF(I130=J130,"일치","불일치")</x:f>
        <x:v>일치</x:v>
      </x:c>
      <x:c r="L130" s="33" t="str">
        <x:v>레이저장비 프로브</x:v>
      </x:c>
      <x:c r="M130" s="34" t="str">
        <x:v>p.1 발주내용 품목표</x:v>
      </x:c>
    </x:row>
    <x:row r="131" ht="24" customHeight="1">
      <x:c r="A131" s="32" t="str">
        <x:v>PO-032</x:v>
      </x:c>
      <x:c r="B131" s="33" t="str">
        <x:v>발주서_32.pdf</x:v>
      </x:c>
      <x:c r="C131" s="33" t="n">
        <x:v>3</x:v>
      </x:c>
      <x:c r="D131" s="33" t="str">
        <x:v>LR2000</x:v>
      </x:c>
      <x:c r="E131" s="33" t="str">
        <x:v>-</x:v>
      </x:c>
      <x:c r="F131" s="33" t="str">
        <x:v>EA</x:v>
      </x:c>
      <x:c r="G131" s="39" t="n">
        <x:v>3</x:v>
      </x:c>
      <x:c r="H131" s="39" t="n">
        <x:v>5200000</x:v>
      </x:c>
      <x:c r="I131" s="39" t="n">
        <x:v>15600000</x:v>
      </x:c>
      <x:c r="J131" s="39" t="n">
        <x:f>G131*H131</x:f>
        <x:v>15600000</x:v>
      </x:c>
      <x:c r="K131" s="33" t="str">
        <x:f>IF(I131=J131,"일치","불일치")</x:f>
        <x:v>일치</x:v>
      </x:c>
      <x:c r="L131" s="33" t="str">
        <x:v>레이저장비 시스템</x:v>
      </x:c>
      <x:c r="M131" s="34" t="str">
        <x:v>p.1 발주내용 품목표</x:v>
      </x:c>
    </x:row>
    <x:row r="132" ht="24" customHeight="1">
      <x:c r="A132" s="32" t="str">
        <x:v>PO-032</x:v>
      </x:c>
      <x:c r="B132" s="33" t="str">
        <x:v>발주서_32.pdf</x:v>
      </x:c>
      <x:c r="C132" s="33" t="n">
        <x:v>4</x:v>
      </x:c>
      <x:c r="D132" s="33" t="str">
        <x:v>LR-PRO</x:v>
      </x:c>
      <x:c r="E132" s="33" t="str">
        <x:v>-</x:v>
      </x:c>
      <x:c r="F132" s="33" t="str">
        <x:v>EA</x:v>
      </x:c>
      <x:c r="G132" s="39" t="n">
        <x:v>3</x:v>
      </x:c>
      <x:c r="H132" s="39" t="n">
        <x:v>6000000</x:v>
      </x:c>
      <x:c r="I132" s="39" t="n">
        <x:v>18000000</x:v>
      </x:c>
      <x:c r="J132" s="39" t="n">
        <x:f>G132*H132</x:f>
        <x:v>18000000</x:v>
      </x:c>
      <x:c r="K132" s="33" t="str">
        <x:f>IF(I132=J132,"일치","불일치")</x:f>
        <x:v>일치</x:v>
      </x:c>
      <x:c r="L132" s="33" t="str">
        <x:v>레이저장비 시스템</x:v>
      </x:c>
      <x:c r="M132" s="34" t="str">
        <x:v>p.1 발주내용 품목표</x:v>
      </x:c>
    </x:row>
    <x:row r="133" ht="24" customHeight="1">
      <x:c r="A133" s="32" t="str">
        <x:v>PO-033</x:v>
      </x:c>
      <x:c r="B133" s="33" t="str">
        <x:v>발주서_33.pdf</x:v>
      </x:c>
      <x:c r="C133" s="33" t="n">
        <x:v>1</x:v>
      </x:c>
      <x:c r="D133" s="33" t="str">
        <x:v>LR2000</x:v>
      </x:c>
      <x:c r="E133" s="33" t="str">
        <x:v>-</x:v>
      </x:c>
      <x:c r="F133" s="33" t="str">
        <x:v>EA</x:v>
      </x:c>
      <x:c r="G133" s="39" t="n">
        <x:v>6</x:v>
      </x:c>
      <x:c r="H133" s="39" t="n">
        <x:v>5200000</x:v>
      </x:c>
      <x:c r="I133" s="39" t="n">
        <x:v>31200000</x:v>
      </x:c>
      <x:c r="J133" s="39" t="n">
        <x:f>G133*H133</x:f>
        <x:v>31200000</x:v>
      </x:c>
      <x:c r="K133" s="33" t="str">
        <x:f>IF(I133=J133,"일치","불일치")</x:f>
        <x:v>일치</x:v>
      </x:c>
      <x:c r="L133" s="33" t="str">
        <x:v>레이저장비 시스템</x:v>
      </x:c>
      <x:c r="M133" s="34" t="str">
        <x:v>p.1 발주내용 품목표</x:v>
      </x:c>
    </x:row>
    <x:row r="134" ht="24" customHeight="1">
      <x:c r="A134" s="32" t="str">
        <x:v>PO-033</x:v>
      </x:c>
      <x:c r="B134" s="33" t="str">
        <x:v>발주서_33.pdf</x:v>
      </x:c>
      <x:c r="C134" s="33" t="n">
        <x:v>2</x:v>
      </x:c>
      <x:c r="D134" s="33" t="str">
        <x:v>LR-CORE3</x:v>
      </x:c>
      <x:c r="E134" s="33" t="str">
        <x:v>-</x:v>
      </x:c>
      <x:c r="F134" s="33" t="str">
        <x:v>EA</x:v>
      </x:c>
      <x:c r="G134" s="39" t="n">
        <x:v>12</x:v>
      </x:c>
      <x:c r="H134" s="39" t="n">
        <x:v>60000</x:v>
      </x:c>
      <x:c r="I134" s="39" t="n">
        <x:v>720000</x:v>
      </x:c>
      <x:c r="J134" s="39" t="n">
        <x:f>G134*H134</x:f>
        <x:v>720000</x:v>
      </x:c>
      <x:c r="K134" s="33" t="str">
        <x:f>IF(I134=J134,"일치","불일치")</x:f>
        <x:v>일치</x:v>
      </x:c>
      <x:c r="L134" s="33" t="str">
        <x:v>레이저장비 액세서리</x:v>
      </x:c>
      <x:c r="M134" s="34" t="str">
        <x:v>p.1 발주내용 품목표</x:v>
      </x:c>
    </x:row>
    <x:row r="135" ht="24" customHeight="1">
      <x:c r="A135" s="32" t="str">
        <x:v>PO-033</x:v>
      </x:c>
      <x:c r="B135" s="33" t="str">
        <x:v>발주서_33.pdf</x:v>
      </x:c>
      <x:c r="C135" s="33" t="n">
        <x:v>3</x:v>
      </x:c>
      <x:c r="D135" s="33" t="str">
        <x:v>LR1000</x:v>
      </x:c>
      <x:c r="E135" s="33" t="str">
        <x:v>-</x:v>
      </x:c>
      <x:c r="F135" s="33" t="str">
        <x:v>EA</x:v>
      </x:c>
      <x:c r="G135" s="39" t="n">
        <x:v>7</x:v>
      </x:c>
      <x:c r="H135" s="39" t="n">
        <x:v>4500000</x:v>
      </x:c>
      <x:c r="I135" s="39" t="n">
        <x:v>31500000</x:v>
      </x:c>
      <x:c r="J135" s="39" t="n">
        <x:f>G135*H135</x:f>
        <x:v>31500000</x:v>
      </x:c>
      <x:c r="K135" s="33" t="str">
        <x:f>IF(I135=J135,"일치","불일치")</x:f>
        <x:v>일치</x:v>
      </x:c>
      <x:c r="L135" s="33" t="str">
        <x:v>레이저장비 시스템</x:v>
      </x:c>
      <x:c r="M135" s="34" t="str">
        <x:v>p.1 발주내용 품목표</x:v>
      </x:c>
    </x:row>
    <x:row r="136" ht="24" customHeight="1">
      <x:c r="A136" s="32" t="str">
        <x:v>PO-033</x:v>
      </x:c>
      <x:c r="B136" s="33" t="str">
        <x:v>발주서_33.pdf</x:v>
      </x:c>
      <x:c r="C136" s="33" t="n">
        <x:v>4</x:v>
      </x:c>
      <x:c r="D136" s="33" t="str">
        <x:v>LP100</x:v>
      </x:c>
      <x:c r="E136" s="33" t="str">
        <x:v>-</x:v>
      </x:c>
      <x:c r="F136" s="33" t="str">
        <x:v>EA</x:v>
      </x:c>
      <x:c r="G136" s="39" t="n">
        <x:v>13</x:v>
      </x:c>
      <x:c r="H136" s="39" t="n">
        <x:v>180000</x:v>
      </x:c>
      <x:c r="I136" s="39" t="n">
        <x:v>2340000</x:v>
      </x:c>
      <x:c r="J136" s="39" t="n">
        <x:f>G136*H136</x:f>
        <x:v>2340000</x:v>
      </x:c>
      <x:c r="K136" s="33" t="str">
        <x:f>IF(I136=J136,"일치","불일치")</x:f>
        <x:v>일치</x:v>
      </x:c>
      <x:c r="L136" s="33" t="str">
        <x:v>레이저장비 부품</x:v>
      </x:c>
      <x:c r="M136" s="34" t="str">
        <x:v>p.1 발주내용 품목표</x:v>
      </x:c>
    </x:row>
    <x:row r="137" ht="24" customHeight="1">
      <x:c r="A137" s="32" t="str">
        <x:v>PO-034</x:v>
      </x:c>
      <x:c r="B137" s="33" t="str">
        <x:v>발주서_34.pdf</x:v>
      </x:c>
      <x:c r="C137" s="33" t="n">
        <x:v>1</x:v>
      </x:c>
      <x:c r="D137" s="33" t="str">
        <x:v>LP1000</x:v>
      </x:c>
      <x:c r="E137" s="33" t="str">
        <x:v>-</x:v>
      </x:c>
      <x:c r="F137" s="33" t="str">
        <x:v>EA</x:v>
      </x:c>
      <x:c r="G137" s="39" t="n">
        <x:v>5</x:v>
      </x:c>
      <x:c r="H137" s="39" t="n">
        <x:v>130000</x:v>
      </x:c>
      <x:c r="I137" s="39" t="n">
        <x:v>650000</x:v>
      </x:c>
      <x:c r="J137" s="39" t="n">
        <x:f>G137*H137</x:f>
        <x:v>650000</x:v>
      </x:c>
      <x:c r="K137" s="33" t="str">
        <x:f>IF(I137=J137,"일치","불일치")</x:f>
        <x:v>일치</x:v>
      </x:c>
      <x:c r="L137" s="33" t="str">
        <x:v>레이저장비 프로브</x:v>
      </x:c>
      <x:c r="M137" s="34" t="str">
        <x:v>p.1 발주내용 품목표</x:v>
      </x:c>
    </x:row>
    <x:row r="138" ht="24" customHeight="1">
      <x:c r="A138" s="32" t="str">
        <x:v>PO-034</x:v>
      </x:c>
      <x:c r="B138" s="33" t="str">
        <x:v>발주서_34.pdf</x:v>
      </x:c>
      <x:c r="C138" s="33" t="n">
        <x:v>2</x:v>
      </x:c>
      <x:c r="D138" s="33" t="str">
        <x:v>LR2000</x:v>
      </x:c>
      <x:c r="E138" s="33" t="str">
        <x:v>-</x:v>
      </x:c>
      <x:c r="F138" s="33" t="str">
        <x:v>EA</x:v>
      </x:c>
      <x:c r="G138" s="39" t="n">
        <x:v>5</x:v>
      </x:c>
      <x:c r="H138" s="39" t="n">
        <x:v>5200000</x:v>
      </x:c>
      <x:c r="I138" s="39" t="n">
        <x:v>26000000</x:v>
      </x:c>
      <x:c r="J138" s="39" t="n">
        <x:f>G138*H138</x:f>
        <x:v>26000000</x:v>
      </x:c>
      <x:c r="K138" s="33" t="str">
        <x:f>IF(I138=J138,"일치","불일치")</x:f>
        <x:v>일치</x:v>
      </x:c>
      <x:c r="L138" s="33" t="str">
        <x:v>레이저장비 시스템</x:v>
      </x:c>
      <x:c r="M138" s="34" t="str">
        <x:v>p.1 발주내용 품목표</x:v>
      </x:c>
    </x:row>
    <x:row r="139" ht="24" customHeight="1">
      <x:c r="A139" s="32" t="str">
        <x:v>PO-034</x:v>
      </x:c>
      <x:c r="B139" s="33" t="str">
        <x:v>발주서_34.pdf</x:v>
      </x:c>
      <x:c r="C139" s="33" t="n">
        <x:v>3</x:v>
      </x:c>
      <x:c r="D139" s="33" t="str">
        <x:v>LP2000</x:v>
      </x:c>
      <x:c r="E139" s="33" t="str">
        <x:v>-</x:v>
      </x:c>
      <x:c r="F139" s="33" t="str">
        <x:v>EA</x:v>
      </x:c>
      <x:c r="G139" s="39" t="n">
        <x:v>13</x:v>
      </x:c>
      <x:c r="H139" s="39" t="n">
        <x:v>175000</x:v>
      </x:c>
      <x:c r="I139" s="39" t="n">
        <x:v>2275000</x:v>
      </x:c>
      <x:c r="J139" s="39" t="n">
        <x:f>G139*H139</x:f>
        <x:v>2275000</x:v>
      </x:c>
      <x:c r="K139" s="33" t="str">
        <x:f>IF(I139=J139,"일치","불일치")</x:f>
        <x:v>일치</x:v>
      </x:c>
      <x:c r="L139" s="33" t="str">
        <x:v>레이저장비 프로브</x:v>
      </x:c>
      <x:c r="M139" s="34" t="str">
        <x:v>p.1 발주내용 품목표</x:v>
      </x:c>
    </x:row>
    <x:row r="140" ht="24" customHeight="1">
      <x:c r="A140" s="32" t="str">
        <x:v>PO-034</x:v>
      </x:c>
      <x:c r="B140" s="33" t="str">
        <x:v>발주서_34.pdf</x:v>
      </x:c>
      <x:c r="C140" s="33" t="n">
        <x:v>4</x:v>
      </x:c>
      <x:c r="D140" s="33" t="str">
        <x:v>LR-CORE2</x:v>
      </x:c>
      <x:c r="E140" s="33" t="str">
        <x:v>-</x:v>
      </x:c>
      <x:c r="F140" s="33" t="str">
        <x:v>EA</x:v>
      </x:c>
      <x:c r="G140" s="39" t="n">
        <x:v>10</x:v>
      </x:c>
      <x:c r="H140" s="39" t="n">
        <x:v>4800000</x:v>
      </x:c>
      <x:c r="I140" s="39" t="n">
        <x:v>48000000</x:v>
      </x:c>
      <x:c r="J140" s="39" t="n">
        <x:f>G140*H140</x:f>
        <x:v>48000000</x:v>
      </x:c>
      <x:c r="K140" s="33" t="str">
        <x:f>IF(I140=J140,"일치","불일치")</x:f>
        <x:v>일치</x:v>
      </x:c>
      <x:c r="L140" s="33" t="str">
        <x:v>레이저장비 액세서리</x:v>
      </x:c>
      <x:c r="M140" s="34" t="str">
        <x:v>p.1 발주내용 품목표</x:v>
      </x:c>
    </x:row>
    <x:row r="141" ht="24" customHeight="1">
      <x:c r="A141" s="32" t="str">
        <x:v>PO-035</x:v>
      </x:c>
      <x:c r="B141" s="33" t="str">
        <x:v>발주서_35.pdf</x:v>
      </x:c>
      <x:c r="C141" s="33" t="n">
        <x:v>1</x:v>
      </x:c>
      <x:c r="D141" s="33" t="str">
        <x:v>LR2000</x:v>
      </x:c>
      <x:c r="E141" s="33" t="str">
        <x:v>-</x:v>
      </x:c>
      <x:c r="F141" s="33" t="str">
        <x:v>EA</x:v>
      </x:c>
      <x:c r="G141" s="39" t="n">
        <x:v>15</x:v>
      </x:c>
      <x:c r="H141" s="39" t="n">
        <x:v>5200000</x:v>
      </x:c>
      <x:c r="I141" s="39" t="n">
        <x:v>78000000</x:v>
      </x:c>
      <x:c r="J141" s="39" t="n">
        <x:f>G141*H141</x:f>
        <x:v>78000000</x:v>
      </x:c>
      <x:c r="K141" s="33" t="str">
        <x:f>IF(I141=J141,"일치","불일치")</x:f>
        <x:v>일치</x:v>
      </x:c>
      <x:c r="L141" s="33" t="str">
        <x:v>레이저장비 시스템</x:v>
      </x:c>
      <x:c r="M141" s="34" t="str">
        <x:v>p.1 발주내용 품목표</x:v>
      </x:c>
    </x:row>
    <x:row r="142" ht="24" customHeight="1">
      <x:c r="A142" s="32" t="str">
        <x:v>PO-035</x:v>
      </x:c>
      <x:c r="B142" s="33" t="str">
        <x:v>발주서_35.pdf</x:v>
      </x:c>
      <x:c r="C142" s="33" t="n">
        <x:v>2</x:v>
      </x:c>
      <x:c r="D142" s="33" t="str">
        <x:v>LP100</x:v>
      </x:c>
      <x:c r="E142" s="33" t="str">
        <x:v>-</x:v>
      </x:c>
      <x:c r="F142" s="33" t="str">
        <x:v>EA</x:v>
      </x:c>
      <x:c r="G142" s="39" t="n">
        <x:v>14</x:v>
      </x:c>
      <x:c r="H142" s="39" t="n">
        <x:v>180000</x:v>
      </x:c>
      <x:c r="I142" s="39" t="n">
        <x:v>2520000</x:v>
      </x:c>
      <x:c r="J142" s="39" t="n">
        <x:f>G142*H142</x:f>
        <x:v>2520000</x:v>
      </x:c>
      <x:c r="K142" s="33" t="str">
        <x:f>IF(I142=J142,"일치","불일치")</x:f>
        <x:v>일치</x:v>
      </x:c>
      <x:c r="L142" s="33" t="str">
        <x:v>레이저장비 부품</x:v>
      </x:c>
      <x:c r="M142" s="34" t="str">
        <x:v>p.1 발주내용 품목표</x:v>
      </x:c>
    </x:row>
    <x:row r="143" ht="24" customHeight="1">
      <x:c r="A143" s="32" t="str">
        <x:v>PO-035</x:v>
      </x:c>
      <x:c r="B143" s="33" t="str">
        <x:v>발주서_35.pdf</x:v>
      </x:c>
      <x:c r="C143" s="33" t="n">
        <x:v>3</x:v>
      </x:c>
      <x:c r="D143" s="33" t="str">
        <x:v>LR-PRO</x:v>
      </x:c>
      <x:c r="E143" s="33" t="str">
        <x:v>-</x:v>
      </x:c>
      <x:c r="F143" s="33" t="str">
        <x:v>EA</x:v>
      </x:c>
      <x:c r="G143" s="39" t="n">
        <x:v>12</x:v>
      </x:c>
      <x:c r="H143" s="39" t="n">
        <x:v>6000000</x:v>
      </x:c>
      <x:c r="I143" s="39" t="n">
        <x:v>72000000</x:v>
      </x:c>
      <x:c r="J143" s="39" t="n">
        <x:f>G143*H143</x:f>
        <x:v>72000000</x:v>
      </x:c>
      <x:c r="K143" s="33" t="str">
        <x:f>IF(I143=J143,"일치","불일치")</x:f>
        <x:v>일치</x:v>
      </x:c>
      <x:c r="L143" s="33" t="str">
        <x:v>레이저장비 시스템</x:v>
      </x:c>
      <x:c r="M143" s="34" t="str">
        <x:v>p.1 발주내용 품목표</x:v>
      </x:c>
    </x:row>
    <x:row r="144" ht="24" customHeight="1">
      <x:c r="A144" s="32" t="str">
        <x:v>PO-035</x:v>
      </x:c>
      <x:c r="B144" s="33" t="str">
        <x:v>발주서_35.pdf</x:v>
      </x:c>
      <x:c r="C144" s="33" t="n">
        <x:v>4</x:v>
      </x:c>
      <x:c r="D144" s="33" t="str">
        <x:v>LR-CORE3</x:v>
      </x:c>
      <x:c r="E144" s="33" t="str">
        <x:v>-</x:v>
      </x:c>
      <x:c r="F144" s="33" t="str">
        <x:v>EA</x:v>
      </x:c>
      <x:c r="G144" s="39" t="n">
        <x:v>8</x:v>
      </x:c>
      <x:c r="H144" s="39" t="n">
        <x:v>60000</x:v>
      </x:c>
      <x:c r="I144" s="39" t="n">
        <x:v>480000</x:v>
      </x:c>
      <x:c r="J144" s="39" t="n">
        <x:f>G144*H144</x:f>
        <x:v>480000</x:v>
      </x:c>
      <x:c r="K144" s="33" t="str">
        <x:f>IF(I144=J144,"일치","불일치")</x:f>
        <x:v>일치</x:v>
      </x:c>
      <x:c r="L144" s="33" t="str">
        <x:v>레이저장비 액세서리</x:v>
      </x:c>
      <x:c r="M144" s="34" t="str">
        <x:v>p.1 발주내용 품목표</x:v>
      </x:c>
    </x:row>
    <x:row r="145" ht="24" customHeight="1">
      <x:c r="A145" s="32" t="str">
        <x:v>PO-036</x:v>
      </x:c>
      <x:c r="B145" s="33" t="str">
        <x:v>발주서_36.pdf</x:v>
      </x:c>
      <x:c r="C145" s="33" t="n">
        <x:v>1</x:v>
      </x:c>
      <x:c r="D145" s="33" t="str">
        <x:v>LR-CORE1</x:v>
      </x:c>
      <x:c r="E145" s="33" t="str">
        <x:v>-</x:v>
      </x:c>
      <x:c r="F145" s="33" t="str">
        <x:v>EA</x:v>
      </x:c>
      <x:c r="G145" s="39" t="n">
        <x:v>2</x:v>
      </x:c>
      <x:c r="H145" s="39" t="n">
        <x:v>4200000</x:v>
      </x:c>
      <x:c r="I145" s="39" t="n">
        <x:v>8400000</x:v>
      </x:c>
      <x:c r="J145" s="39" t="n">
        <x:f>G145*H145</x:f>
        <x:v>8400000</x:v>
      </x:c>
      <x:c r="K145" s="33" t="str">
        <x:f>IF(I145=J145,"일치","불일치")</x:f>
        <x:v>일치</x:v>
      </x:c>
      <x:c r="L145" s="33" t="str">
        <x:v>레이저장비 액세서리</x:v>
      </x:c>
      <x:c r="M145" s="34" t="str">
        <x:v>p.1 발주내용 품목표</x:v>
      </x:c>
    </x:row>
    <x:row r="146" ht="24" customHeight="1">
      <x:c r="A146" s="32" t="str">
        <x:v>PO-036</x:v>
      </x:c>
      <x:c r="B146" s="33" t="str">
        <x:v>발주서_36.pdf</x:v>
      </x:c>
      <x:c r="C146" s="33" t="n">
        <x:v>2</x:v>
      </x:c>
      <x:c r="D146" s="33" t="str">
        <x:v>LR1000</x:v>
      </x:c>
      <x:c r="E146" s="33" t="str">
        <x:v>-</x:v>
      </x:c>
      <x:c r="F146" s="33" t="str">
        <x:v>EA</x:v>
      </x:c>
      <x:c r="G146" s="39" t="n">
        <x:v>10</x:v>
      </x:c>
      <x:c r="H146" s="39" t="n">
        <x:v>4500000</x:v>
      </x:c>
      <x:c r="I146" s="39" t="n">
        <x:v>45000000</x:v>
      </x:c>
      <x:c r="J146" s="39" t="n">
        <x:f>G146*H146</x:f>
        <x:v>45000000</x:v>
      </x:c>
      <x:c r="K146" s="33" t="str">
        <x:f>IF(I146=J146,"일치","불일치")</x:f>
        <x:v>일치</x:v>
      </x:c>
      <x:c r="L146" s="33" t="str">
        <x:v>레이저장비 시스템</x:v>
      </x:c>
      <x:c r="M146" s="34" t="str">
        <x:v>p.1 발주내용 품목표</x:v>
      </x:c>
    </x:row>
    <x:row r="147" ht="24" customHeight="1">
      <x:c r="A147" s="32" t="str">
        <x:v>PO-036</x:v>
      </x:c>
      <x:c r="B147" s="33" t="str">
        <x:v>발주서_36.pdf</x:v>
      </x:c>
      <x:c r="C147" s="33" t="n">
        <x:v>3</x:v>
      </x:c>
      <x:c r="D147" s="33" t="str">
        <x:v>LR-PRO</x:v>
      </x:c>
      <x:c r="E147" s="33" t="str">
        <x:v>-</x:v>
      </x:c>
      <x:c r="F147" s="33" t="str">
        <x:v>EA</x:v>
      </x:c>
      <x:c r="G147" s="39" t="n">
        <x:v>3</x:v>
      </x:c>
      <x:c r="H147" s="39" t="n">
        <x:v>6000000</x:v>
      </x:c>
      <x:c r="I147" s="39" t="n">
        <x:v>18000000</x:v>
      </x:c>
      <x:c r="J147" s="39" t="n">
        <x:f>G147*H147</x:f>
        <x:v>18000000</x:v>
      </x:c>
      <x:c r="K147" s="33" t="str">
        <x:f>IF(I147=J147,"일치","불일치")</x:f>
        <x:v>일치</x:v>
      </x:c>
      <x:c r="L147" s="33" t="str">
        <x:v>레이저장비 시스템</x:v>
      </x:c>
      <x:c r="M147" s="34" t="str">
        <x:v>p.1 발주내용 품목표</x:v>
      </x:c>
    </x:row>
    <x:row r="148" ht="24" customHeight="1">
      <x:c r="A148" s="32" t="str">
        <x:v>PO-036</x:v>
      </x:c>
      <x:c r="B148" s="33" t="str">
        <x:v>발주서_36.pdf</x:v>
      </x:c>
      <x:c r="C148" s="33" t="n">
        <x:v>4</x:v>
      </x:c>
      <x:c r="D148" s="33" t="str">
        <x:v>LR2000</x:v>
      </x:c>
      <x:c r="E148" s="33" t="str">
        <x:v>-</x:v>
      </x:c>
      <x:c r="F148" s="33" t="str">
        <x:v>EA</x:v>
      </x:c>
      <x:c r="G148" s="39" t="n">
        <x:v>3</x:v>
      </x:c>
      <x:c r="H148" s="39" t="n">
        <x:v>5200000</x:v>
      </x:c>
      <x:c r="I148" s="39" t="n">
        <x:v>15600000</x:v>
      </x:c>
      <x:c r="J148" s="39" t="n">
        <x:f>G148*H148</x:f>
        <x:v>15600000</x:v>
      </x:c>
      <x:c r="K148" s="33" t="str">
        <x:f>IF(I148=J148,"일치","불일치")</x:f>
        <x:v>일치</x:v>
      </x:c>
      <x:c r="L148" s="33" t="str">
        <x:v>레이저장비 시스템</x:v>
      </x:c>
      <x:c r="M148" s="34" t="str">
        <x:v>p.1 발주내용 품목표</x:v>
      </x:c>
    </x:row>
    <x:row r="149" ht="24" customHeight="1">
      <x:c r="A149" s="32" t="str">
        <x:v>PO-037</x:v>
      </x:c>
      <x:c r="B149" s="33" t="str">
        <x:v>발주서_37.pdf</x:v>
      </x:c>
      <x:c r="C149" s="33" t="n">
        <x:v>1</x:v>
      </x:c>
      <x:c r="D149" s="33" t="str">
        <x:v>LP1000</x:v>
      </x:c>
      <x:c r="E149" s="33" t="str">
        <x:v>-</x:v>
      </x:c>
      <x:c r="F149" s="33" t="str">
        <x:v>EA</x:v>
      </x:c>
      <x:c r="G149" s="39" t="n">
        <x:v>10</x:v>
      </x:c>
      <x:c r="H149" s="39" t="n">
        <x:v>130000</x:v>
      </x:c>
      <x:c r="I149" s="39" t="n">
        <x:v>1300000</x:v>
      </x:c>
      <x:c r="J149" s="39" t="n">
        <x:f>G149*H149</x:f>
        <x:v>1300000</x:v>
      </x:c>
      <x:c r="K149" s="33" t="str">
        <x:f>IF(I149=J149,"일치","불일치")</x:f>
        <x:v>일치</x:v>
      </x:c>
      <x:c r="L149" s="33" t="str">
        <x:v>레이저장비 프로브</x:v>
      </x:c>
      <x:c r="M149" s="34" t="str">
        <x:v>p.1 발주내용 품목표</x:v>
      </x:c>
    </x:row>
    <x:row r="150" ht="24" customHeight="1">
      <x:c r="A150" s="32" t="str">
        <x:v>PO-037</x:v>
      </x:c>
      <x:c r="B150" s="33" t="str">
        <x:v>발주서_37.pdf</x:v>
      </x:c>
      <x:c r="C150" s="33" t="n">
        <x:v>2</x:v>
      </x:c>
      <x:c r="D150" s="33" t="str">
        <x:v>LP100</x:v>
      </x:c>
      <x:c r="E150" s="33" t="str">
        <x:v>-</x:v>
      </x:c>
      <x:c r="F150" s="33" t="str">
        <x:v>EA</x:v>
      </x:c>
      <x:c r="G150" s="39" t="n">
        <x:v>8</x:v>
      </x:c>
      <x:c r="H150" s="39" t="n">
        <x:v>180000</x:v>
      </x:c>
      <x:c r="I150" s="39" t="n">
        <x:v>1440000</x:v>
      </x:c>
      <x:c r="J150" s="39" t="n">
        <x:f>G150*H150</x:f>
        <x:v>1440000</x:v>
      </x:c>
      <x:c r="K150" s="33" t="str">
        <x:f>IF(I150=J150,"일치","불일치")</x:f>
        <x:v>일치</x:v>
      </x:c>
      <x:c r="L150" s="33" t="str">
        <x:v>레이저장비 부품</x:v>
      </x:c>
      <x:c r="M150" s="34" t="str">
        <x:v>p.1 발주내용 품목표</x:v>
      </x:c>
    </x:row>
    <x:row r="151" ht="24" customHeight="1">
      <x:c r="A151" s="32" t="str">
        <x:v>PO-037</x:v>
      </x:c>
      <x:c r="B151" s="33" t="str">
        <x:v>발주서_37.pdf</x:v>
      </x:c>
      <x:c r="C151" s="33" t="n">
        <x:v>3</x:v>
      </x:c>
      <x:c r="D151" s="33" t="str">
        <x:v>LR2000</x:v>
      </x:c>
      <x:c r="E151" s="33" t="str">
        <x:v>-</x:v>
      </x:c>
      <x:c r="F151" s="33" t="str">
        <x:v>EA</x:v>
      </x:c>
      <x:c r="G151" s="39" t="n">
        <x:v>12</x:v>
      </x:c>
      <x:c r="H151" s="39" t="n">
        <x:v>5200000</x:v>
      </x:c>
      <x:c r="I151" s="39" t="n">
        <x:v>62400000</x:v>
      </x:c>
      <x:c r="J151" s="39" t="n">
        <x:f>G151*H151</x:f>
        <x:v>62400000</x:v>
      </x:c>
      <x:c r="K151" s="33" t="str">
        <x:f>IF(I151=J151,"일치","불일치")</x:f>
        <x:v>일치</x:v>
      </x:c>
      <x:c r="L151" s="33" t="str">
        <x:v>레이저장비 시스템</x:v>
      </x:c>
      <x:c r="M151" s="34" t="str">
        <x:v>p.1 발주내용 품목표</x:v>
      </x:c>
    </x:row>
    <x:row r="152" ht="24" customHeight="1">
      <x:c r="A152" s="32" t="str">
        <x:v>PO-037</x:v>
      </x:c>
      <x:c r="B152" s="33" t="str">
        <x:v>발주서_37.pdf</x:v>
      </x:c>
      <x:c r="C152" s="33" t="n">
        <x:v>4</x:v>
      </x:c>
      <x:c r="D152" s="33" t="str">
        <x:v>LR-CORE2</x:v>
      </x:c>
      <x:c r="E152" s="33" t="str">
        <x:v>-</x:v>
      </x:c>
      <x:c r="F152" s="33" t="str">
        <x:v>EA</x:v>
      </x:c>
      <x:c r="G152" s="39" t="n">
        <x:v>6</x:v>
      </x:c>
      <x:c r="H152" s="39" t="n">
        <x:v>4800000</x:v>
      </x:c>
      <x:c r="I152" s="39" t="n">
        <x:v>28800000</x:v>
      </x:c>
      <x:c r="J152" s="39" t="n">
        <x:f>G152*H152</x:f>
        <x:v>28800000</x:v>
      </x:c>
      <x:c r="K152" s="33" t="str">
        <x:f>IF(I152=J152,"일치","불일치")</x:f>
        <x:v>일치</x:v>
      </x:c>
      <x:c r="L152" s="33" t="str">
        <x:v>레이저장비 액세서리</x:v>
      </x:c>
      <x:c r="M152" s="34" t="str">
        <x:v>p.1 발주내용 품목표</x:v>
      </x:c>
    </x:row>
    <x:row r="153" ht="24" customHeight="1">
      <x:c r="A153" s="32" t="str">
        <x:v>PO-038</x:v>
      </x:c>
      <x:c r="B153" s="33" t="str">
        <x:v>발주서_38.pdf</x:v>
      </x:c>
      <x:c r="C153" s="33" t="n">
        <x:v>1</x:v>
      </x:c>
      <x:c r="D153" s="33" t="str">
        <x:v>LP2000</x:v>
      </x:c>
      <x:c r="E153" s="33" t="str">
        <x:v>-</x:v>
      </x:c>
      <x:c r="F153" s="33" t="str">
        <x:v>EA</x:v>
      </x:c>
      <x:c r="G153" s="39" t="n">
        <x:v>9</x:v>
      </x:c>
      <x:c r="H153" s="39" t="n">
        <x:v>175000</x:v>
      </x:c>
      <x:c r="I153" s="39" t="n">
        <x:v>1575000</x:v>
      </x:c>
      <x:c r="J153" s="39" t="n">
        <x:f>G153*H153</x:f>
        <x:v>1575000</x:v>
      </x:c>
      <x:c r="K153" s="33" t="str">
        <x:f>IF(I153=J153,"일치","불일치")</x:f>
        <x:v>일치</x:v>
      </x:c>
      <x:c r="L153" s="33" t="str">
        <x:v>레이저장비 프로브</x:v>
      </x:c>
      <x:c r="M153" s="34" t="str">
        <x:v>p.1 발주내용 품목표</x:v>
      </x:c>
    </x:row>
    <x:row r="154" ht="24" customHeight="1">
      <x:c r="A154" s="32" t="str">
        <x:v>PO-038</x:v>
      </x:c>
      <x:c r="B154" s="33" t="str">
        <x:v>발주서_38.pdf</x:v>
      </x:c>
      <x:c r="C154" s="33" t="n">
        <x:v>2</x:v>
      </x:c>
      <x:c r="D154" s="33" t="str">
        <x:v>LP200</x:v>
      </x:c>
      <x:c r="E154" s="33" t="str">
        <x:v>-</x:v>
      </x:c>
      <x:c r="F154" s="33" t="str">
        <x:v>EA</x:v>
      </x:c>
      <x:c r="G154" s="39" t="n">
        <x:v>8</x:v>
      </x:c>
      <x:c r="H154" s="39" t="n">
        <x:v>240000</x:v>
      </x:c>
      <x:c r="I154" s="39" t="n">
        <x:v>1920000</x:v>
      </x:c>
      <x:c r="J154" s="39" t="n">
        <x:f>G154*H154</x:f>
        <x:v>1920000</x:v>
      </x:c>
      <x:c r="K154" s="33" t="str">
        <x:f>IF(I154=J154,"일치","불일치")</x:f>
        <x:v>일치</x:v>
      </x:c>
      <x:c r="L154" s="33" t="str">
        <x:v>레이저장비 부품</x:v>
      </x:c>
      <x:c r="M154" s="34" t="str">
        <x:v>p.1 발주내용 품목표</x:v>
      </x:c>
    </x:row>
    <x:row r="155" ht="24" customHeight="1">
      <x:c r="A155" s="32" t="str">
        <x:v>PO-038</x:v>
      </x:c>
      <x:c r="B155" s="33" t="str">
        <x:v>발주서_38.pdf</x:v>
      </x:c>
      <x:c r="C155" s="33" t="n">
        <x:v>3</x:v>
      </x:c>
      <x:c r="D155" s="33" t="str">
        <x:v>LR1000</x:v>
      </x:c>
      <x:c r="E155" s="33" t="str">
        <x:v>-</x:v>
      </x:c>
      <x:c r="F155" s="33" t="str">
        <x:v>EA</x:v>
      </x:c>
      <x:c r="G155" s="39" t="n">
        <x:v>15</x:v>
      </x:c>
      <x:c r="H155" s="39" t="n">
        <x:v>4500000</x:v>
      </x:c>
      <x:c r="I155" s="39" t="n">
        <x:v>67500000</x:v>
      </x:c>
      <x:c r="J155" s="39" t="n">
        <x:f>G155*H155</x:f>
        <x:v>67500000</x:v>
      </x:c>
      <x:c r="K155" s="33" t="str">
        <x:f>IF(I155=J155,"일치","불일치")</x:f>
        <x:v>일치</x:v>
      </x:c>
      <x:c r="L155" s="33" t="str">
        <x:v>레이저장비 시스템</x:v>
      </x:c>
      <x:c r="M155" s="34" t="str">
        <x:v>p.1 발주내용 품목표</x:v>
      </x:c>
    </x:row>
    <x:row r="156" ht="24" customHeight="1">
      <x:c r="A156" s="32" t="str">
        <x:v>PO-038</x:v>
      </x:c>
      <x:c r="B156" s="33" t="str">
        <x:v>발주서_38.pdf</x:v>
      </x:c>
      <x:c r="C156" s="33" t="n">
        <x:v>4</x:v>
      </x:c>
      <x:c r="D156" s="33" t="str">
        <x:v>LR2000</x:v>
      </x:c>
      <x:c r="E156" s="33" t="str">
        <x:v>-</x:v>
      </x:c>
      <x:c r="F156" s="33" t="str">
        <x:v>EA</x:v>
      </x:c>
      <x:c r="G156" s="39" t="n">
        <x:v>10</x:v>
      </x:c>
      <x:c r="H156" s="39" t="n">
        <x:v>5200000</x:v>
      </x:c>
      <x:c r="I156" s="39" t="n">
        <x:v>52000000</x:v>
      </x:c>
      <x:c r="J156" s="39" t="n">
        <x:f>G156*H156</x:f>
        <x:v>52000000</x:v>
      </x:c>
      <x:c r="K156" s="33" t="str">
        <x:f>IF(I156=J156,"일치","불일치")</x:f>
        <x:v>일치</x:v>
      </x:c>
      <x:c r="L156" s="33" t="str">
        <x:v>레이저장비 시스템</x:v>
      </x:c>
      <x:c r="M156" s="34" t="str">
        <x:v>p.1 발주내용 품목표</x:v>
      </x:c>
    </x:row>
    <x:row r="157" ht="24" customHeight="1">
      <x:c r="A157" s="32" t="str">
        <x:v>PO-039</x:v>
      </x:c>
      <x:c r="B157" s="33" t="str">
        <x:v>발주서_39.pdf</x:v>
      </x:c>
      <x:c r="C157" s="33" t="n">
        <x:v>1</x:v>
      </x:c>
      <x:c r="D157" s="33" t="str">
        <x:v>LP100</x:v>
      </x:c>
      <x:c r="E157" s="33" t="str">
        <x:v>-</x:v>
      </x:c>
      <x:c r="F157" s="33" t="str">
        <x:v>EA</x:v>
      </x:c>
      <x:c r="G157" s="39" t="n">
        <x:v>10</x:v>
      </x:c>
      <x:c r="H157" s="39" t="n">
        <x:v>180000</x:v>
      </x:c>
      <x:c r="I157" s="39" t="n">
        <x:v>1800000</x:v>
      </x:c>
      <x:c r="J157" s="39" t="n">
        <x:f>G157*H157</x:f>
        <x:v>1800000</x:v>
      </x:c>
      <x:c r="K157" s="33" t="str">
        <x:f>IF(I157=J157,"일치","불일치")</x:f>
        <x:v>일치</x:v>
      </x:c>
      <x:c r="L157" s="33" t="str">
        <x:v>레이저장비 부품</x:v>
      </x:c>
      <x:c r="M157" s="34" t="str">
        <x:v>p.1 발주내용 품목표</x:v>
      </x:c>
    </x:row>
    <x:row r="158" ht="24" customHeight="1">
      <x:c r="A158" s="32" t="str">
        <x:v>PO-039</x:v>
      </x:c>
      <x:c r="B158" s="33" t="str">
        <x:v>발주서_39.pdf</x:v>
      </x:c>
      <x:c r="C158" s="33" t="n">
        <x:v>2</x:v>
      </x:c>
      <x:c r="D158" s="33" t="str">
        <x:v>LP200</x:v>
      </x:c>
      <x:c r="E158" s="33" t="str">
        <x:v>-</x:v>
      </x:c>
      <x:c r="F158" s="33" t="str">
        <x:v>EA</x:v>
      </x:c>
      <x:c r="G158" s="39" t="n">
        <x:v>4</x:v>
      </x:c>
      <x:c r="H158" s="39" t="n">
        <x:v>240000</x:v>
      </x:c>
      <x:c r="I158" s="39" t="n">
        <x:v>960000</x:v>
      </x:c>
      <x:c r="J158" s="39" t="n">
        <x:f>G158*H158</x:f>
        <x:v>960000</x:v>
      </x:c>
      <x:c r="K158" s="33" t="str">
        <x:f>IF(I158=J158,"일치","불일치")</x:f>
        <x:v>일치</x:v>
      </x:c>
      <x:c r="L158" s="33" t="str">
        <x:v>레이저장비 부품</x:v>
      </x:c>
      <x:c r="M158" s="34" t="str">
        <x:v>p.1 발주내용 품목표</x:v>
      </x:c>
    </x:row>
    <x:row r="159" ht="24" customHeight="1">
      <x:c r="A159" s="32" t="str">
        <x:v>PO-039</x:v>
      </x:c>
      <x:c r="B159" s="33" t="str">
        <x:v>발주서_39.pdf</x:v>
      </x:c>
      <x:c r="C159" s="33" t="n">
        <x:v>3</x:v>
      </x:c>
      <x:c r="D159" s="33" t="str">
        <x:v>LR-CORE1</x:v>
      </x:c>
      <x:c r="E159" s="33" t="str">
        <x:v>-</x:v>
      </x:c>
      <x:c r="F159" s="33" t="str">
        <x:v>EA</x:v>
      </x:c>
      <x:c r="G159" s="39" t="n">
        <x:v>8</x:v>
      </x:c>
      <x:c r="H159" s="39" t="n">
        <x:v>4200000</x:v>
      </x:c>
      <x:c r="I159" s="39" t="n">
        <x:v>33600000</x:v>
      </x:c>
      <x:c r="J159" s="39" t="n">
        <x:f>G159*H159</x:f>
        <x:v>33600000</x:v>
      </x:c>
      <x:c r="K159" s="33" t="str">
        <x:f>IF(I159=J159,"일치","불일치")</x:f>
        <x:v>일치</x:v>
      </x:c>
      <x:c r="L159" s="33" t="str">
        <x:v>레이저장비 액세서리</x:v>
      </x:c>
      <x:c r="M159" s="34" t="str">
        <x:v>p.1 발주내용 품목표</x:v>
      </x:c>
    </x:row>
    <x:row r="160" ht="24" customHeight="1">
      <x:c r="A160" s="32" t="str">
        <x:v>PO-039</x:v>
      </x:c>
      <x:c r="B160" s="33" t="str">
        <x:v>발주서_39.pdf</x:v>
      </x:c>
      <x:c r="C160" s="33" t="n">
        <x:v>4</x:v>
      </x:c>
      <x:c r="D160" s="33" t="str">
        <x:v>LR1000</x:v>
      </x:c>
      <x:c r="E160" s="33" t="str">
        <x:v>-</x:v>
      </x:c>
      <x:c r="F160" s="33" t="str">
        <x:v>EA</x:v>
      </x:c>
      <x:c r="G160" s="39" t="n">
        <x:v>8</x:v>
      </x:c>
      <x:c r="H160" s="39" t="n">
        <x:v>4500000</x:v>
      </x:c>
      <x:c r="I160" s="39" t="n">
        <x:v>36000000</x:v>
      </x:c>
      <x:c r="J160" s="39" t="n">
        <x:f>G160*H160</x:f>
        <x:v>36000000</x:v>
      </x:c>
      <x:c r="K160" s="33" t="str">
        <x:f>IF(I160=J160,"일치","불일치")</x:f>
        <x:v>일치</x:v>
      </x:c>
      <x:c r="L160" s="33" t="str">
        <x:v>레이저장비 시스템</x:v>
      </x:c>
      <x:c r="M160" s="34" t="str">
        <x:v>p.1 발주내용 품목표</x:v>
      </x:c>
    </x:row>
    <x:row r="161" ht="24" customHeight="1">
      <x:c r="A161" s="32" t="str">
        <x:v>PO-040</x:v>
      </x:c>
      <x:c r="B161" s="33" t="str">
        <x:v>발주서_40.pdf</x:v>
      </x:c>
      <x:c r="C161" s="33" t="n">
        <x:v>1</x:v>
      </x:c>
      <x:c r="D161" s="33" t="str">
        <x:v>LP2000</x:v>
      </x:c>
      <x:c r="E161" s="33" t="str">
        <x:v>-</x:v>
      </x:c>
      <x:c r="F161" s="33" t="str">
        <x:v>EA</x:v>
      </x:c>
      <x:c r="G161" s="39" t="n">
        <x:v>11</x:v>
      </x:c>
      <x:c r="H161" s="39" t="n">
        <x:v>175000</x:v>
      </x:c>
      <x:c r="I161" s="39" t="n">
        <x:v>1925000</x:v>
      </x:c>
      <x:c r="J161" s="39" t="n">
        <x:f>G161*H161</x:f>
        <x:v>1925000</x:v>
      </x:c>
      <x:c r="K161" s="33" t="str">
        <x:f>IF(I161=J161,"일치","불일치")</x:f>
        <x:v>일치</x:v>
      </x:c>
      <x:c r="L161" s="33" t="str">
        <x:v>레이저장비 프로브</x:v>
      </x:c>
      <x:c r="M161" s="34" t="str">
        <x:v>p.1 발주내용 품목표</x:v>
      </x:c>
    </x:row>
    <x:row r="162" ht="24" customHeight="1">
      <x:c r="A162" s="32" t="str">
        <x:v>PO-040</x:v>
      </x:c>
      <x:c r="B162" s="33" t="str">
        <x:v>발주서_40.pdf</x:v>
      </x:c>
      <x:c r="C162" s="33" t="n">
        <x:v>2</x:v>
      </x:c>
      <x:c r="D162" s="33" t="str">
        <x:v>LP1500</x:v>
      </x:c>
      <x:c r="E162" s="33" t="str">
        <x:v>-</x:v>
      </x:c>
      <x:c r="F162" s="33" t="str">
        <x:v>EA</x:v>
      </x:c>
      <x:c r="G162" s="39" t="n">
        <x:v>6</x:v>
      </x:c>
      <x:c r="H162" s="39" t="n">
        <x:v>145000</x:v>
      </x:c>
      <x:c r="I162" s="39" t="n">
        <x:v>870000</x:v>
      </x:c>
      <x:c r="J162" s="39" t="n">
        <x:f>G162*H162</x:f>
        <x:v>870000</x:v>
      </x:c>
      <x:c r="K162" s="33" t="str">
        <x:f>IF(I162=J162,"일치","불일치")</x:f>
        <x:v>일치</x:v>
      </x:c>
      <x:c r="L162" s="33" t="str">
        <x:v>레이저장비 프로브</x:v>
      </x:c>
      <x:c r="M162" s="34" t="str">
        <x:v>p.1 발주내용 품목표</x:v>
      </x:c>
    </x:row>
    <x:row r="163" ht="24" customHeight="1">
      <x:c r="A163" s="32" t="str">
        <x:v>PO-040</x:v>
      </x:c>
      <x:c r="B163" s="33" t="str">
        <x:v>발주서_40.pdf</x:v>
      </x:c>
      <x:c r="C163" s="33" t="n">
        <x:v>3</x:v>
      </x:c>
      <x:c r="D163" s="33" t="str">
        <x:v>LR1000</x:v>
      </x:c>
      <x:c r="E163" s="33" t="str">
        <x:v>-</x:v>
      </x:c>
      <x:c r="F163" s="33" t="str">
        <x:v>EA</x:v>
      </x:c>
      <x:c r="G163" s="39" t="n">
        <x:v>8</x:v>
      </x:c>
      <x:c r="H163" s="39" t="n">
        <x:v>4500000</x:v>
      </x:c>
      <x:c r="I163" s="39" t="n">
        <x:v>36000000</x:v>
      </x:c>
      <x:c r="J163" s="39" t="n">
        <x:f>G163*H163</x:f>
        <x:v>36000000</x:v>
      </x:c>
      <x:c r="K163" s="33" t="str">
        <x:f>IF(I163=J163,"일치","불일치")</x:f>
        <x:v>일치</x:v>
      </x:c>
      <x:c r="L163" s="33" t="str">
        <x:v>레이저장비 시스템</x:v>
      </x:c>
      <x:c r="M163" s="34" t="str">
        <x:v>p.1 발주내용 품목표</x:v>
      </x:c>
    </x:row>
    <x:row r="164" ht="24" customHeight="1">
      <x:c r="A164" s="32" t="str">
        <x:v>PO-040</x:v>
      </x:c>
      <x:c r="B164" s="33" t="str">
        <x:v>발주서_40.pdf</x:v>
      </x:c>
      <x:c r="C164" s="33" t="n">
        <x:v>4</x:v>
      </x:c>
      <x:c r="D164" s="33" t="str">
        <x:v>LP1000</x:v>
      </x:c>
      <x:c r="E164" s="33" t="str">
        <x:v>-</x:v>
      </x:c>
      <x:c r="F164" s="33" t="str">
        <x:v>EA</x:v>
      </x:c>
      <x:c r="G164" s="39" t="n">
        <x:v>3</x:v>
      </x:c>
      <x:c r="H164" s="39" t="n">
        <x:v>130000</x:v>
      </x:c>
      <x:c r="I164" s="39" t="n">
        <x:v>390000</x:v>
      </x:c>
      <x:c r="J164" s="39" t="n">
        <x:f>G164*H164</x:f>
        <x:v>390000</x:v>
      </x:c>
      <x:c r="K164" s="33" t="str">
        <x:f>IF(I164=J164,"일치","불일치")</x:f>
        <x:v>일치</x:v>
      </x:c>
      <x:c r="L164" s="33" t="str">
        <x:v>레이저장비 프로브</x:v>
      </x:c>
      <x:c r="M164" s="34" t="str">
        <x:v>p.1 발주내용 품목표</x:v>
      </x:c>
    </x:row>
    <x:row r="165" ht="24" customHeight="1">
      <x:c r="A165" s="32" t="str">
        <x:v>PO-041</x:v>
      </x:c>
      <x:c r="B165" s="33" t="str">
        <x:v>발주서_41.pdf</x:v>
      </x:c>
      <x:c r="C165" s="33" t="n">
        <x:v>1</x:v>
      </x:c>
      <x:c r="D165" s="33" t="str">
        <x:v>LR2000</x:v>
      </x:c>
      <x:c r="E165" s="33" t="str">
        <x:v>-</x:v>
      </x:c>
      <x:c r="F165" s="33" t="str">
        <x:v>EA</x:v>
      </x:c>
      <x:c r="G165" s="39" t="n">
        <x:v>15</x:v>
      </x:c>
      <x:c r="H165" s="39" t="n">
        <x:v>5200000</x:v>
      </x:c>
      <x:c r="I165" s="39" t="n">
        <x:v>78000000</x:v>
      </x:c>
      <x:c r="J165" s="39" t="n">
        <x:f>G165*H165</x:f>
        <x:v>78000000</x:v>
      </x:c>
      <x:c r="K165" s="33" t="str">
        <x:f>IF(I165=J165,"일치","불일치")</x:f>
        <x:v>일치</x:v>
      </x:c>
      <x:c r="L165" s="33" t="str">
        <x:v>레이저장비 시스템</x:v>
      </x:c>
      <x:c r="M165" s="34" t="str">
        <x:v>p.1 발주내용 품목표</x:v>
      </x:c>
    </x:row>
    <x:row r="166" ht="24" customHeight="1">
      <x:c r="A166" s="32" t="str">
        <x:v>PO-041</x:v>
      </x:c>
      <x:c r="B166" s="33" t="str">
        <x:v>발주서_41.pdf</x:v>
      </x:c>
      <x:c r="C166" s="33" t="n">
        <x:v>2</x:v>
      </x:c>
      <x:c r="D166" s="33" t="str">
        <x:v>LR-CORE2</x:v>
      </x:c>
      <x:c r="E166" s="33" t="str">
        <x:v>-</x:v>
      </x:c>
      <x:c r="F166" s="33" t="str">
        <x:v>EA</x:v>
      </x:c>
      <x:c r="G166" s="39" t="n">
        <x:v>6</x:v>
      </x:c>
      <x:c r="H166" s="39" t="n">
        <x:v>4800000</x:v>
      </x:c>
      <x:c r="I166" s="39" t="n">
        <x:v>28800000</x:v>
      </x:c>
      <x:c r="J166" s="39" t="n">
        <x:f>G166*H166</x:f>
        <x:v>28800000</x:v>
      </x:c>
      <x:c r="K166" s="33" t="str">
        <x:f>IF(I166=J166,"일치","불일치")</x:f>
        <x:v>일치</x:v>
      </x:c>
      <x:c r="L166" s="33" t="str">
        <x:v>레이저장비 액세서리</x:v>
      </x:c>
      <x:c r="M166" s="34" t="str">
        <x:v>p.1 발주내용 품목표</x:v>
      </x:c>
    </x:row>
    <x:row r="167" ht="24" customHeight="1">
      <x:c r="A167" s="32" t="str">
        <x:v>PO-041</x:v>
      </x:c>
      <x:c r="B167" s="33" t="str">
        <x:v>발주서_41.pdf</x:v>
      </x:c>
      <x:c r="C167" s="33" t="n">
        <x:v>3</x:v>
      </x:c>
      <x:c r="D167" s="33" t="str">
        <x:v>LR-CORE1</x:v>
      </x:c>
      <x:c r="E167" s="33" t="str">
        <x:v>-</x:v>
      </x:c>
      <x:c r="F167" s="33" t="str">
        <x:v>EA</x:v>
      </x:c>
      <x:c r="G167" s="39" t="n">
        <x:v>4</x:v>
      </x:c>
      <x:c r="H167" s="39" t="n">
        <x:v>4200000</x:v>
      </x:c>
      <x:c r="I167" s="39" t="n">
        <x:v>16800000</x:v>
      </x:c>
      <x:c r="J167" s="39" t="n">
        <x:f>G167*H167</x:f>
        <x:v>16800000</x:v>
      </x:c>
      <x:c r="K167" s="33" t="str">
        <x:f>IF(I167=J167,"일치","불일치")</x:f>
        <x:v>일치</x:v>
      </x:c>
      <x:c r="L167" s="33" t="str">
        <x:v>레이저장비 액세서리</x:v>
      </x:c>
      <x:c r="M167" s="34" t="str">
        <x:v>p.1 발주내용 품목표</x:v>
      </x:c>
    </x:row>
    <x:row r="168" ht="24" customHeight="1">
      <x:c r="A168" s="32" t="str">
        <x:v>PO-041</x:v>
      </x:c>
      <x:c r="B168" s="33" t="str">
        <x:v>발주서_41.pdf</x:v>
      </x:c>
      <x:c r="C168" s="33" t="n">
        <x:v>4</x:v>
      </x:c>
      <x:c r="D168" s="33" t="str">
        <x:v>LP1000</x:v>
      </x:c>
      <x:c r="E168" s="33" t="str">
        <x:v>-</x:v>
      </x:c>
      <x:c r="F168" s="33" t="str">
        <x:v>EA</x:v>
      </x:c>
      <x:c r="G168" s="39" t="n">
        <x:v>8</x:v>
      </x:c>
      <x:c r="H168" s="39" t="n">
        <x:v>130000</x:v>
      </x:c>
      <x:c r="I168" s="39" t="n">
        <x:v>1040000</x:v>
      </x:c>
      <x:c r="J168" s="39" t="n">
        <x:f>G168*H168</x:f>
        <x:v>1040000</x:v>
      </x:c>
      <x:c r="K168" s="33" t="str">
        <x:f>IF(I168=J168,"일치","불일치")</x:f>
        <x:v>일치</x:v>
      </x:c>
      <x:c r="L168" s="33" t="str">
        <x:v>레이저장비 프로브</x:v>
      </x:c>
      <x:c r="M168" s="34" t="str">
        <x:v>p.1 발주내용 품목표</x:v>
      </x:c>
    </x:row>
    <x:row r="169" ht="24" customHeight="1">
      <x:c r="A169" s="32" t="str">
        <x:v>PO-042</x:v>
      </x:c>
      <x:c r="B169" s="33" t="str">
        <x:v>발주서_42.pdf</x:v>
      </x:c>
      <x:c r="C169" s="33" t="n">
        <x:v>1</x:v>
      </x:c>
      <x:c r="D169" s="33" t="str">
        <x:v>LP1500</x:v>
      </x:c>
      <x:c r="E169" s="33" t="str">
        <x:v>-</x:v>
      </x:c>
      <x:c r="F169" s="33" t="str">
        <x:v>EA</x:v>
      </x:c>
      <x:c r="G169" s="39" t="n">
        <x:v>5</x:v>
      </x:c>
      <x:c r="H169" s="39" t="n">
        <x:v>145000</x:v>
      </x:c>
      <x:c r="I169" s="39" t="n">
        <x:v>725000</x:v>
      </x:c>
      <x:c r="J169" s="39" t="n">
        <x:f>G169*H169</x:f>
        <x:v>725000</x:v>
      </x:c>
      <x:c r="K169" s="33" t="str">
        <x:f>IF(I169=J169,"일치","불일치")</x:f>
        <x:v>일치</x:v>
      </x:c>
      <x:c r="L169" s="33" t="str">
        <x:v>레이저장비 프로브</x:v>
      </x:c>
      <x:c r="M169" s="34" t="str">
        <x:v>p.1 발주내용 품목표</x:v>
      </x:c>
    </x:row>
    <x:row r="170" ht="24" customHeight="1">
      <x:c r="A170" s="32" t="str">
        <x:v>PO-042</x:v>
      </x:c>
      <x:c r="B170" s="33" t="str">
        <x:v>발주서_42.pdf</x:v>
      </x:c>
      <x:c r="C170" s="33" t="n">
        <x:v>2</x:v>
      </x:c>
      <x:c r="D170" s="33" t="str">
        <x:v>LP2000</x:v>
      </x:c>
      <x:c r="E170" s="33" t="str">
        <x:v>-</x:v>
      </x:c>
      <x:c r="F170" s="33" t="str">
        <x:v>EA</x:v>
      </x:c>
      <x:c r="G170" s="39" t="n">
        <x:v>2</x:v>
      </x:c>
      <x:c r="H170" s="39" t="n">
        <x:v>175000</x:v>
      </x:c>
      <x:c r="I170" s="39" t="n">
        <x:v>350000</x:v>
      </x:c>
      <x:c r="J170" s="39" t="n">
        <x:f>G170*H170</x:f>
        <x:v>350000</x:v>
      </x:c>
      <x:c r="K170" s="33" t="str">
        <x:f>IF(I170=J170,"일치","불일치")</x:f>
        <x:v>일치</x:v>
      </x:c>
      <x:c r="L170" s="33" t="str">
        <x:v>레이저장비 프로브</x:v>
      </x:c>
      <x:c r="M170" s="34" t="str">
        <x:v>p.1 발주내용 품목표</x:v>
      </x:c>
    </x:row>
    <x:row r="171" ht="24" customHeight="1">
      <x:c r="A171" s="32" t="str">
        <x:v>PO-042</x:v>
      </x:c>
      <x:c r="B171" s="33" t="str">
        <x:v>발주서_42.pdf</x:v>
      </x:c>
      <x:c r="C171" s="33" t="n">
        <x:v>3</x:v>
      </x:c>
      <x:c r="D171" s="33" t="str">
        <x:v>LR-CORE3</x:v>
      </x:c>
      <x:c r="E171" s="33" t="str">
        <x:v>-</x:v>
      </x:c>
      <x:c r="F171" s="33" t="str">
        <x:v>EA</x:v>
      </x:c>
      <x:c r="G171" s="39" t="n">
        <x:v>15</x:v>
      </x:c>
      <x:c r="H171" s="39" t="n">
        <x:v>60000</x:v>
      </x:c>
      <x:c r="I171" s="39" t="n">
        <x:v>900000</x:v>
      </x:c>
      <x:c r="J171" s="39" t="n">
        <x:f>G171*H171</x:f>
        <x:v>900000</x:v>
      </x:c>
      <x:c r="K171" s="33" t="str">
        <x:f>IF(I171=J171,"일치","불일치")</x:f>
        <x:v>일치</x:v>
      </x:c>
      <x:c r="L171" s="33" t="str">
        <x:v>레이저장비 액세서리</x:v>
      </x:c>
      <x:c r="M171" s="34" t="str">
        <x:v>p.1 발주내용 품목표</x:v>
      </x:c>
    </x:row>
    <x:row r="172" ht="24" customHeight="1">
      <x:c r="A172" s="32" t="str">
        <x:v>PO-042</x:v>
      </x:c>
      <x:c r="B172" s="33" t="str">
        <x:v>발주서_42.pdf</x:v>
      </x:c>
      <x:c r="C172" s="33" t="n">
        <x:v>4</x:v>
      </x:c>
      <x:c r="D172" s="33" t="str">
        <x:v>LR-CORE1</x:v>
      </x:c>
      <x:c r="E172" s="33" t="str">
        <x:v>-</x:v>
      </x:c>
      <x:c r="F172" s="33" t="str">
        <x:v>EA</x:v>
      </x:c>
      <x:c r="G172" s="39" t="n">
        <x:v>4</x:v>
      </x:c>
      <x:c r="H172" s="39" t="n">
        <x:v>4200000</x:v>
      </x:c>
      <x:c r="I172" s="39" t="n">
        <x:v>16800000</x:v>
      </x:c>
      <x:c r="J172" s="39" t="n">
        <x:f>G172*H172</x:f>
        <x:v>16800000</x:v>
      </x:c>
      <x:c r="K172" s="33" t="str">
        <x:f>IF(I172=J172,"일치","불일치")</x:f>
        <x:v>일치</x:v>
      </x:c>
      <x:c r="L172" s="33" t="str">
        <x:v>레이저장비 액세서리</x:v>
      </x:c>
      <x:c r="M172" s="34" t="str">
        <x:v>p.1 발주내용 품목표</x:v>
      </x:c>
    </x:row>
    <x:row r="173" ht="24" customHeight="1">
      <x:c r="A173" s="32" t="str">
        <x:v>PO-043</x:v>
      </x:c>
      <x:c r="B173" s="33" t="str">
        <x:v>발주서_43.pdf</x:v>
      </x:c>
      <x:c r="C173" s="33" t="n">
        <x:v>1</x:v>
      </x:c>
      <x:c r="D173" s="33" t="str">
        <x:v>LR-PRO</x:v>
      </x:c>
      <x:c r="E173" s="33" t="str">
        <x:v>-</x:v>
      </x:c>
      <x:c r="F173" s="33" t="str">
        <x:v>EA</x:v>
      </x:c>
      <x:c r="G173" s="39" t="n">
        <x:v>10</x:v>
      </x:c>
      <x:c r="H173" s="39" t="n">
        <x:v>6000000</x:v>
      </x:c>
      <x:c r="I173" s="39" t="n">
        <x:v>60000000</x:v>
      </x:c>
      <x:c r="J173" s="39" t="n">
        <x:f>G173*H173</x:f>
        <x:v>60000000</x:v>
      </x:c>
      <x:c r="K173" s="33" t="str">
        <x:f>IF(I173=J173,"일치","불일치")</x:f>
        <x:v>일치</x:v>
      </x:c>
      <x:c r="L173" s="33" t="str">
        <x:v>레이저장비 시스템</x:v>
      </x:c>
      <x:c r="M173" s="34" t="str">
        <x:v>p.1 발주내용 품목표</x:v>
      </x:c>
    </x:row>
    <x:row r="174" ht="24" customHeight="1">
      <x:c r="A174" s="32" t="str">
        <x:v>PO-043</x:v>
      </x:c>
      <x:c r="B174" s="33" t="str">
        <x:v>발주서_43.pdf</x:v>
      </x:c>
      <x:c r="C174" s="33" t="n">
        <x:v>2</x:v>
      </x:c>
      <x:c r="D174" s="33" t="str">
        <x:v>LR-CORE1</x:v>
      </x:c>
      <x:c r="E174" s="33" t="str">
        <x:v>-</x:v>
      </x:c>
      <x:c r="F174" s="33" t="str">
        <x:v>EA</x:v>
      </x:c>
      <x:c r="G174" s="39" t="n">
        <x:v>15</x:v>
      </x:c>
      <x:c r="H174" s="39" t="n">
        <x:v>4200000</x:v>
      </x:c>
      <x:c r="I174" s="39" t="n">
        <x:v>63000000</x:v>
      </x:c>
      <x:c r="J174" s="39" t="n">
        <x:f>G174*H174</x:f>
        <x:v>63000000</x:v>
      </x:c>
      <x:c r="K174" s="33" t="str">
        <x:f>IF(I174=J174,"일치","불일치")</x:f>
        <x:v>일치</x:v>
      </x:c>
      <x:c r="L174" s="33" t="str">
        <x:v>레이저장비 액세서리</x:v>
      </x:c>
      <x:c r="M174" s="34" t="str">
        <x:v>p.1 발주내용 품목표</x:v>
      </x:c>
    </x:row>
    <x:row r="175" ht="24" customHeight="1">
      <x:c r="A175" s="32" t="str">
        <x:v>PO-043</x:v>
      </x:c>
      <x:c r="B175" s="33" t="str">
        <x:v>발주서_43.pdf</x:v>
      </x:c>
      <x:c r="C175" s="33" t="n">
        <x:v>3</x:v>
      </x:c>
      <x:c r="D175" s="33" t="str">
        <x:v>LP1000</x:v>
      </x:c>
      <x:c r="E175" s="33" t="str">
        <x:v>-</x:v>
      </x:c>
      <x:c r="F175" s="33" t="str">
        <x:v>EA</x:v>
      </x:c>
      <x:c r="G175" s="39" t="n">
        <x:v>10</x:v>
      </x:c>
      <x:c r="H175" s="39" t="n">
        <x:v>130000</x:v>
      </x:c>
      <x:c r="I175" s="39" t="n">
        <x:v>1300000</x:v>
      </x:c>
      <x:c r="J175" s="39" t="n">
        <x:f>G175*H175</x:f>
        <x:v>1300000</x:v>
      </x:c>
      <x:c r="K175" s="33" t="str">
        <x:f>IF(I175=J175,"일치","불일치")</x:f>
        <x:v>일치</x:v>
      </x:c>
      <x:c r="L175" s="33" t="str">
        <x:v>레이저장비 프로브</x:v>
      </x:c>
      <x:c r="M175" s="34" t="str">
        <x:v>p.1 발주내용 품목표</x:v>
      </x:c>
    </x:row>
    <x:row r="176" ht="24" customHeight="1">
      <x:c r="A176" s="32" t="str">
        <x:v>PO-043</x:v>
      </x:c>
      <x:c r="B176" s="33" t="str">
        <x:v>발주서_43.pdf</x:v>
      </x:c>
      <x:c r="C176" s="33" t="n">
        <x:v>4</x:v>
      </x:c>
      <x:c r="D176" s="33" t="str">
        <x:v>LP2000</x:v>
      </x:c>
      <x:c r="E176" s="33" t="str">
        <x:v>-</x:v>
      </x:c>
      <x:c r="F176" s="33" t="str">
        <x:v>EA</x:v>
      </x:c>
      <x:c r="G176" s="39" t="n">
        <x:v>14</x:v>
      </x:c>
      <x:c r="H176" s="39" t="n">
        <x:v>175000</x:v>
      </x:c>
      <x:c r="I176" s="39" t="n">
        <x:v>2450000</x:v>
      </x:c>
      <x:c r="J176" s="39" t="n">
        <x:f>G176*H176</x:f>
        <x:v>2450000</x:v>
      </x:c>
      <x:c r="K176" s="33" t="str">
        <x:f>IF(I176=J176,"일치","불일치")</x:f>
        <x:v>일치</x:v>
      </x:c>
      <x:c r="L176" s="33" t="str">
        <x:v>레이저장비 프로브</x:v>
      </x:c>
      <x:c r="M176" s="34" t="str">
        <x:v>p.1 발주내용 품목표</x:v>
      </x:c>
    </x:row>
    <x:row r="177" ht="24" customHeight="1">
      <x:c r="A177" s="32" t="str">
        <x:v>PO-044</x:v>
      </x:c>
      <x:c r="B177" s="33" t="str">
        <x:v>발주서_44.pdf</x:v>
      </x:c>
      <x:c r="C177" s="33" t="n">
        <x:v>1</x:v>
      </x:c>
      <x:c r="D177" s="33" t="str">
        <x:v>LR2000</x:v>
      </x:c>
      <x:c r="E177" s="33" t="str">
        <x:v>-</x:v>
      </x:c>
      <x:c r="F177" s="33" t="str">
        <x:v>EA</x:v>
      </x:c>
      <x:c r="G177" s="39" t="n">
        <x:v>14</x:v>
      </x:c>
      <x:c r="H177" s="39" t="n">
        <x:v>5200000</x:v>
      </x:c>
      <x:c r="I177" s="39" t="n">
        <x:v>72800000</x:v>
      </x:c>
      <x:c r="J177" s="39" t="n">
        <x:f>G177*H177</x:f>
        <x:v>72800000</x:v>
      </x:c>
      <x:c r="K177" s="33" t="str">
        <x:f>IF(I177=J177,"일치","불일치")</x:f>
        <x:v>일치</x:v>
      </x:c>
      <x:c r="L177" s="33" t="str">
        <x:v>레이저장비 시스템</x:v>
      </x:c>
      <x:c r="M177" s="34" t="str">
        <x:v>p.1 발주내용 품목표</x:v>
      </x:c>
    </x:row>
    <x:row r="178" ht="24" customHeight="1">
      <x:c r="A178" s="32" t="str">
        <x:v>PO-044</x:v>
      </x:c>
      <x:c r="B178" s="33" t="str">
        <x:v>발주서_44.pdf</x:v>
      </x:c>
      <x:c r="C178" s="33" t="n">
        <x:v>2</x:v>
      </x:c>
      <x:c r="D178" s="33" t="str">
        <x:v>LP1500</x:v>
      </x:c>
      <x:c r="E178" s="33" t="str">
        <x:v>-</x:v>
      </x:c>
      <x:c r="F178" s="33" t="str">
        <x:v>EA</x:v>
      </x:c>
      <x:c r="G178" s="39" t="n">
        <x:v>7</x:v>
      </x:c>
      <x:c r="H178" s="39" t="n">
        <x:v>145000</x:v>
      </x:c>
      <x:c r="I178" s="39" t="n">
        <x:v>1015000</x:v>
      </x:c>
      <x:c r="J178" s="39" t="n">
        <x:f>G178*H178</x:f>
        <x:v>1015000</x:v>
      </x:c>
      <x:c r="K178" s="33" t="str">
        <x:f>IF(I178=J178,"일치","불일치")</x:f>
        <x:v>일치</x:v>
      </x:c>
      <x:c r="L178" s="33" t="str">
        <x:v>레이저장비 프로브</x:v>
      </x:c>
      <x:c r="M178" s="34" t="str">
        <x:v>p.1 발주내용 품목표</x:v>
      </x:c>
    </x:row>
    <x:row r="179" ht="24" customHeight="1">
      <x:c r="A179" s="32" t="str">
        <x:v>PO-044</x:v>
      </x:c>
      <x:c r="B179" s="33" t="str">
        <x:v>발주서_44.pdf</x:v>
      </x:c>
      <x:c r="C179" s="33" t="n">
        <x:v>3</x:v>
      </x:c>
      <x:c r="D179" s="33" t="str">
        <x:v>LR1000</x:v>
      </x:c>
      <x:c r="E179" s="33" t="str">
        <x:v>-</x:v>
      </x:c>
      <x:c r="F179" s="33" t="str">
        <x:v>EA</x:v>
      </x:c>
      <x:c r="G179" s="39" t="n">
        <x:v>15</x:v>
      </x:c>
      <x:c r="H179" s="39" t="n">
        <x:v>4500000</x:v>
      </x:c>
      <x:c r="I179" s="39" t="n">
        <x:v>67500000</x:v>
      </x:c>
      <x:c r="J179" s="39" t="n">
        <x:f>G179*H179</x:f>
        <x:v>67500000</x:v>
      </x:c>
      <x:c r="K179" s="33" t="str">
        <x:f>IF(I179=J179,"일치","불일치")</x:f>
        <x:v>일치</x:v>
      </x:c>
      <x:c r="L179" s="33" t="str">
        <x:v>레이저장비 시스템</x:v>
      </x:c>
      <x:c r="M179" s="34" t="str">
        <x:v>p.1 발주내용 품목표</x:v>
      </x:c>
    </x:row>
    <x:row r="180" ht="24" customHeight="1">
      <x:c r="A180" s="32" t="str">
        <x:v>PO-044</x:v>
      </x:c>
      <x:c r="B180" s="33" t="str">
        <x:v>발주서_44.pdf</x:v>
      </x:c>
      <x:c r="C180" s="33" t="n">
        <x:v>4</x:v>
      </x:c>
      <x:c r="D180" s="33" t="str">
        <x:v>LP1000</x:v>
      </x:c>
      <x:c r="E180" s="33" t="str">
        <x:v>-</x:v>
      </x:c>
      <x:c r="F180" s="33" t="str">
        <x:v>EA</x:v>
      </x:c>
      <x:c r="G180" s="39" t="n">
        <x:v>12</x:v>
      </x:c>
      <x:c r="H180" s="39" t="n">
        <x:v>130000</x:v>
      </x:c>
      <x:c r="I180" s="39" t="n">
        <x:v>1560000</x:v>
      </x:c>
      <x:c r="J180" s="39" t="n">
        <x:f>G180*H180</x:f>
        <x:v>1560000</x:v>
      </x:c>
      <x:c r="K180" s="33" t="str">
        <x:f>IF(I180=J180,"일치","불일치")</x:f>
        <x:v>일치</x:v>
      </x:c>
      <x:c r="L180" s="33" t="str">
        <x:v>레이저장비 프로브</x:v>
      </x:c>
      <x:c r="M180" s="34" t="str">
        <x:v>p.1 발주내용 품목표</x:v>
      </x:c>
    </x:row>
    <x:row r="181" ht="24" customHeight="1">
      <x:c r="A181" s="32" t="str">
        <x:v>PO-045</x:v>
      </x:c>
      <x:c r="B181" s="33" t="str">
        <x:v>발주서_45.pdf</x:v>
      </x:c>
      <x:c r="C181" s="33" t="n">
        <x:v>1</x:v>
      </x:c>
      <x:c r="D181" s="33" t="str">
        <x:v>LR2000</x:v>
      </x:c>
      <x:c r="E181" s="33" t="str">
        <x:v>-</x:v>
      </x:c>
      <x:c r="F181" s="33" t="str">
        <x:v>EA</x:v>
      </x:c>
      <x:c r="G181" s="39" t="n">
        <x:v>5</x:v>
      </x:c>
      <x:c r="H181" s="39" t="n">
        <x:v>5200000</x:v>
      </x:c>
      <x:c r="I181" s="39" t="n">
        <x:v>26000000</x:v>
      </x:c>
      <x:c r="J181" s="39" t="n">
        <x:f>G181*H181</x:f>
        <x:v>26000000</x:v>
      </x:c>
      <x:c r="K181" s="33" t="str">
        <x:f>IF(I181=J181,"일치","불일치")</x:f>
        <x:v>일치</x:v>
      </x:c>
      <x:c r="L181" s="33" t="str">
        <x:v>레이저장비 시스템</x:v>
      </x:c>
      <x:c r="M181" s="34" t="str">
        <x:v>p.1 발주내용 품목표</x:v>
      </x:c>
    </x:row>
    <x:row r="182" ht="24" customHeight="1">
      <x:c r="A182" s="32" t="str">
        <x:v>PO-045</x:v>
      </x:c>
      <x:c r="B182" s="33" t="str">
        <x:v>발주서_45.pdf</x:v>
      </x:c>
      <x:c r="C182" s="33" t="n">
        <x:v>2</x:v>
      </x:c>
      <x:c r="D182" s="33" t="str">
        <x:v>LR1000</x:v>
      </x:c>
      <x:c r="E182" s="33" t="str">
        <x:v>-</x:v>
      </x:c>
      <x:c r="F182" s="33" t="str">
        <x:v>EA</x:v>
      </x:c>
      <x:c r="G182" s="39" t="n">
        <x:v>7</x:v>
      </x:c>
      <x:c r="H182" s="39" t="n">
        <x:v>4500000</x:v>
      </x:c>
      <x:c r="I182" s="39" t="n">
        <x:v>31500000</x:v>
      </x:c>
      <x:c r="J182" s="39" t="n">
        <x:f>G182*H182</x:f>
        <x:v>31500000</x:v>
      </x:c>
      <x:c r="K182" s="33" t="str">
        <x:f>IF(I182=J182,"일치","불일치")</x:f>
        <x:v>일치</x:v>
      </x:c>
      <x:c r="L182" s="33" t="str">
        <x:v>레이저장비 시스템</x:v>
      </x:c>
      <x:c r="M182" s="34" t="str">
        <x:v>p.1 발주내용 품목표</x:v>
      </x:c>
    </x:row>
    <x:row r="183" ht="24" customHeight="1">
      <x:c r="A183" s="32" t="str">
        <x:v>PO-045</x:v>
      </x:c>
      <x:c r="B183" s="33" t="str">
        <x:v>발주서_45.pdf</x:v>
      </x:c>
      <x:c r="C183" s="33" t="n">
        <x:v>3</x:v>
      </x:c>
      <x:c r="D183" s="33" t="str">
        <x:v>LR-CORE3</x:v>
      </x:c>
      <x:c r="E183" s="33" t="str">
        <x:v>-</x:v>
      </x:c>
      <x:c r="F183" s="33" t="str">
        <x:v>EA</x:v>
      </x:c>
      <x:c r="G183" s="39" t="n">
        <x:v>9</x:v>
      </x:c>
      <x:c r="H183" s="39" t="n">
        <x:v>60000</x:v>
      </x:c>
      <x:c r="I183" s="39" t="n">
        <x:v>540000</x:v>
      </x:c>
      <x:c r="J183" s="39" t="n">
        <x:f>G183*H183</x:f>
        <x:v>540000</x:v>
      </x:c>
      <x:c r="K183" s="33" t="str">
        <x:f>IF(I183=J183,"일치","불일치")</x:f>
        <x:v>일치</x:v>
      </x:c>
      <x:c r="L183" s="33" t="str">
        <x:v>레이저장비 액세서리</x:v>
      </x:c>
      <x:c r="M183" s="34" t="str">
        <x:v>p.1 발주내용 품목표</x:v>
      </x:c>
    </x:row>
    <x:row r="184" ht="24" customHeight="1">
      <x:c r="A184" s="32" t="str">
        <x:v>PO-045</x:v>
      </x:c>
      <x:c r="B184" s="33" t="str">
        <x:v>발주서_45.pdf</x:v>
      </x:c>
      <x:c r="C184" s="33" t="n">
        <x:v>4</x:v>
      </x:c>
      <x:c r="D184" s="33" t="str">
        <x:v>LP100</x:v>
      </x:c>
      <x:c r="E184" s="33" t="str">
        <x:v>-</x:v>
      </x:c>
      <x:c r="F184" s="33" t="str">
        <x:v>EA</x:v>
      </x:c>
      <x:c r="G184" s="39" t="n">
        <x:v>13</x:v>
      </x:c>
      <x:c r="H184" s="39" t="n">
        <x:v>180000</x:v>
      </x:c>
      <x:c r="I184" s="39" t="n">
        <x:v>2340000</x:v>
      </x:c>
      <x:c r="J184" s="39" t="n">
        <x:f>G184*H184</x:f>
        <x:v>2340000</x:v>
      </x:c>
      <x:c r="K184" s="33" t="str">
        <x:f>IF(I184=J184,"일치","불일치")</x:f>
        <x:v>일치</x:v>
      </x:c>
      <x:c r="L184" s="33" t="str">
        <x:v>레이저장비 부품</x:v>
      </x:c>
      <x:c r="M184" s="34" t="str">
        <x:v>p.1 발주내용 품목표</x:v>
      </x:c>
    </x:row>
    <x:row r="185" ht="24" customHeight="1">
      <x:c r="A185" s="32" t="str">
        <x:v>PO-046</x:v>
      </x:c>
      <x:c r="B185" s="33" t="str">
        <x:v>발주서_46.pdf</x:v>
      </x:c>
      <x:c r="C185" s="33" t="n">
        <x:v>1</x:v>
      </x:c>
      <x:c r="D185" s="33" t="str">
        <x:v>LR-PRO</x:v>
      </x:c>
      <x:c r="E185" s="33" t="str">
        <x:v>-</x:v>
      </x:c>
      <x:c r="F185" s="33" t="str">
        <x:v>EA</x:v>
      </x:c>
      <x:c r="G185" s="39" t="n">
        <x:v>15</x:v>
      </x:c>
      <x:c r="H185" s="39" t="n">
        <x:v>6000000</x:v>
      </x:c>
      <x:c r="I185" s="39" t="n">
        <x:v>90000000</x:v>
      </x:c>
      <x:c r="J185" s="39" t="n">
        <x:f>G185*H185</x:f>
        <x:v>90000000</x:v>
      </x:c>
      <x:c r="K185" s="33" t="str">
        <x:f>IF(I185=J185,"일치","불일치")</x:f>
        <x:v>일치</x:v>
      </x:c>
      <x:c r="L185" s="33" t="str">
        <x:v>레이저장비 시스템</x:v>
      </x:c>
      <x:c r="M185" s="34" t="str">
        <x:v>p.1 발주내용 품목표</x:v>
      </x:c>
    </x:row>
    <x:row r="186" ht="24" customHeight="1">
      <x:c r="A186" s="32" t="str">
        <x:v>PO-046</x:v>
      </x:c>
      <x:c r="B186" s="33" t="str">
        <x:v>발주서_46.pdf</x:v>
      </x:c>
      <x:c r="C186" s="33" t="n">
        <x:v>2</x:v>
      </x:c>
      <x:c r="D186" s="33" t="str">
        <x:v>LR1000</x:v>
      </x:c>
      <x:c r="E186" s="33" t="str">
        <x:v>-</x:v>
      </x:c>
      <x:c r="F186" s="33" t="str">
        <x:v>EA</x:v>
      </x:c>
      <x:c r="G186" s="39" t="n">
        <x:v>7</x:v>
      </x:c>
      <x:c r="H186" s="39" t="n">
        <x:v>4500000</x:v>
      </x:c>
      <x:c r="I186" s="39" t="n">
        <x:v>31500000</x:v>
      </x:c>
      <x:c r="J186" s="39" t="n">
        <x:f>G186*H186</x:f>
        <x:v>31500000</x:v>
      </x:c>
      <x:c r="K186" s="33" t="str">
        <x:f>IF(I186=J186,"일치","불일치")</x:f>
        <x:v>일치</x:v>
      </x:c>
      <x:c r="L186" s="33" t="str">
        <x:v>레이저장비 시스템</x:v>
      </x:c>
      <x:c r="M186" s="34" t="str">
        <x:v>p.1 발주내용 품목표</x:v>
      </x:c>
    </x:row>
    <x:row r="187" ht="24" customHeight="1">
      <x:c r="A187" s="32" t="str">
        <x:v>PO-046</x:v>
      </x:c>
      <x:c r="B187" s="33" t="str">
        <x:v>발주서_46.pdf</x:v>
      </x:c>
      <x:c r="C187" s="33" t="n">
        <x:v>3</x:v>
      </x:c>
      <x:c r="D187" s="33" t="str">
        <x:v>LP100</x:v>
      </x:c>
      <x:c r="E187" s="33" t="str">
        <x:v>-</x:v>
      </x:c>
      <x:c r="F187" s="33" t="str">
        <x:v>EA</x:v>
      </x:c>
      <x:c r="G187" s="39" t="n">
        <x:v>11</x:v>
      </x:c>
      <x:c r="H187" s="39" t="n">
        <x:v>180000</x:v>
      </x:c>
      <x:c r="I187" s="39" t="n">
        <x:v>1980000</x:v>
      </x:c>
      <x:c r="J187" s="39" t="n">
        <x:f>G187*H187</x:f>
        <x:v>1980000</x:v>
      </x:c>
      <x:c r="K187" s="33" t="str">
        <x:f>IF(I187=J187,"일치","불일치")</x:f>
        <x:v>일치</x:v>
      </x:c>
      <x:c r="L187" s="33" t="str">
        <x:v>레이저장비 부품</x:v>
      </x:c>
      <x:c r="M187" s="34" t="str">
        <x:v>p.1 발주내용 품목표</x:v>
      </x:c>
    </x:row>
    <x:row r="188" ht="24" customHeight="1">
      <x:c r="A188" s="32" t="str">
        <x:v>PO-046</x:v>
      </x:c>
      <x:c r="B188" s="33" t="str">
        <x:v>발주서_46.pdf</x:v>
      </x:c>
      <x:c r="C188" s="33" t="n">
        <x:v>4</x:v>
      </x:c>
      <x:c r="D188" s="33" t="str">
        <x:v>LR-CORE2</x:v>
      </x:c>
      <x:c r="E188" s="33" t="str">
        <x:v>-</x:v>
      </x:c>
      <x:c r="F188" s="33" t="str">
        <x:v>EA</x:v>
      </x:c>
      <x:c r="G188" s="39" t="n">
        <x:v>2</x:v>
      </x:c>
      <x:c r="H188" s="39" t="n">
        <x:v>4800000</x:v>
      </x:c>
      <x:c r="I188" s="39" t="n">
        <x:v>9600000</x:v>
      </x:c>
      <x:c r="J188" s="39" t="n">
        <x:f>G188*H188</x:f>
        <x:v>9600000</x:v>
      </x:c>
      <x:c r="K188" s="33" t="str">
        <x:f>IF(I188=J188,"일치","불일치")</x:f>
        <x:v>일치</x:v>
      </x:c>
      <x:c r="L188" s="33" t="str">
        <x:v>레이저장비 액세서리</x:v>
      </x:c>
      <x:c r="M188" s="34" t="str">
        <x:v>p.1 발주내용 품목표</x:v>
      </x:c>
    </x:row>
    <x:row r="189" ht="24" customHeight="1">
      <x:c r="A189" s="32" t="str">
        <x:v>PO-047</x:v>
      </x:c>
      <x:c r="B189" s="33" t="str">
        <x:v>발주서_47.pdf</x:v>
      </x:c>
      <x:c r="C189" s="33" t="n">
        <x:v>1</x:v>
      </x:c>
      <x:c r="D189" s="33" t="str">
        <x:v>LP1000</x:v>
      </x:c>
      <x:c r="E189" s="33" t="str">
        <x:v>-</x:v>
      </x:c>
      <x:c r="F189" s="33" t="str">
        <x:v>EA</x:v>
      </x:c>
      <x:c r="G189" s="39" t="n">
        <x:v>4</x:v>
      </x:c>
      <x:c r="H189" s="39" t="n">
        <x:v>130000</x:v>
      </x:c>
      <x:c r="I189" s="39" t="n">
        <x:v>520000</x:v>
      </x:c>
      <x:c r="J189" s="39" t="n">
        <x:f>G189*H189</x:f>
        <x:v>520000</x:v>
      </x:c>
      <x:c r="K189" s="33" t="str">
        <x:f>IF(I189=J189,"일치","불일치")</x:f>
        <x:v>일치</x:v>
      </x:c>
      <x:c r="L189" s="33" t="str">
        <x:v>레이저장비 프로브</x:v>
      </x:c>
      <x:c r="M189" s="34" t="str">
        <x:v>p.1 발주내용 품목표</x:v>
      </x:c>
    </x:row>
    <x:row r="190" ht="24" customHeight="1">
      <x:c r="A190" s="32" t="str">
        <x:v>PO-047</x:v>
      </x:c>
      <x:c r="B190" s="33" t="str">
        <x:v>발주서_47.pdf</x:v>
      </x:c>
      <x:c r="C190" s="33" t="n">
        <x:v>2</x:v>
      </x:c>
      <x:c r="D190" s="33" t="str">
        <x:v>LP2000</x:v>
      </x:c>
      <x:c r="E190" s="33" t="str">
        <x:v>-</x:v>
      </x:c>
      <x:c r="F190" s="33" t="str">
        <x:v>EA</x:v>
      </x:c>
      <x:c r="G190" s="39" t="n">
        <x:v>13</x:v>
      </x:c>
      <x:c r="H190" s="39" t="n">
        <x:v>175000</x:v>
      </x:c>
      <x:c r="I190" s="39" t="n">
        <x:v>2275000</x:v>
      </x:c>
      <x:c r="J190" s="39" t="n">
        <x:f>G190*H190</x:f>
        <x:v>2275000</x:v>
      </x:c>
      <x:c r="K190" s="33" t="str">
        <x:f>IF(I190=J190,"일치","불일치")</x:f>
        <x:v>일치</x:v>
      </x:c>
      <x:c r="L190" s="33" t="str">
        <x:v>레이저장비 프로브</x:v>
      </x:c>
      <x:c r="M190" s="34" t="str">
        <x:v>p.1 발주내용 품목표</x:v>
      </x:c>
    </x:row>
    <x:row r="191" ht="24" customHeight="1">
      <x:c r="A191" s="32" t="str">
        <x:v>PO-047</x:v>
      </x:c>
      <x:c r="B191" s="33" t="str">
        <x:v>발주서_47.pdf</x:v>
      </x:c>
      <x:c r="C191" s="33" t="n">
        <x:v>3</x:v>
      </x:c>
      <x:c r="D191" s="33" t="str">
        <x:v>LR-CORE3</x:v>
      </x:c>
      <x:c r="E191" s="33" t="str">
        <x:v>-</x:v>
      </x:c>
      <x:c r="F191" s="33" t="str">
        <x:v>EA</x:v>
      </x:c>
      <x:c r="G191" s="39" t="n">
        <x:v>6</x:v>
      </x:c>
      <x:c r="H191" s="39" t="n">
        <x:v>60000</x:v>
      </x:c>
      <x:c r="I191" s="39" t="n">
        <x:v>360000</x:v>
      </x:c>
      <x:c r="J191" s="39" t="n">
        <x:f>G191*H191</x:f>
        <x:v>360000</x:v>
      </x:c>
      <x:c r="K191" s="33" t="str">
        <x:f>IF(I191=J191,"일치","불일치")</x:f>
        <x:v>일치</x:v>
      </x:c>
      <x:c r="L191" s="33" t="str">
        <x:v>레이저장비 액세서리</x:v>
      </x:c>
      <x:c r="M191" s="34" t="str">
        <x:v>p.1 발주내용 품목표</x:v>
      </x:c>
    </x:row>
    <x:row r="192" ht="24" customHeight="1">
      <x:c r="A192" s="32" t="str">
        <x:v>PO-047</x:v>
      </x:c>
      <x:c r="B192" s="33" t="str">
        <x:v>발주서_47.pdf</x:v>
      </x:c>
      <x:c r="C192" s="33" t="n">
        <x:v>4</x:v>
      </x:c>
      <x:c r="D192" s="33" t="str">
        <x:v>LP1500</x:v>
      </x:c>
      <x:c r="E192" s="33" t="str">
        <x:v>-</x:v>
      </x:c>
      <x:c r="F192" s="33" t="str">
        <x:v>EA</x:v>
      </x:c>
      <x:c r="G192" s="39" t="n">
        <x:v>7</x:v>
      </x:c>
      <x:c r="H192" s="39" t="n">
        <x:v>145000</x:v>
      </x:c>
      <x:c r="I192" s="39" t="n">
        <x:v>1015000</x:v>
      </x:c>
      <x:c r="J192" s="39" t="n">
        <x:f>G192*H192</x:f>
        <x:v>1015000</x:v>
      </x:c>
      <x:c r="K192" s="33" t="str">
        <x:f>IF(I192=J192,"일치","불일치")</x:f>
        <x:v>일치</x:v>
      </x:c>
      <x:c r="L192" s="33" t="str">
        <x:v>레이저장비 프로브</x:v>
      </x:c>
      <x:c r="M192" s="34" t="str">
        <x:v>p.1 발주내용 품목표</x:v>
      </x:c>
    </x:row>
    <x:row r="193" ht="24" customHeight="1">
      <x:c r="A193" s="32" t="str">
        <x:v>PO-048</x:v>
      </x:c>
      <x:c r="B193" s="33" t="str">
        <x:v>발주서_48.pdf</x:v>
      </x:c>
      <x:c r="C193" s="33" t="n">
        <x:v>1</x:v>
      </x:c>
      <x:c r="D193" s="33" t="str">
        <x:v>LP100</x:v>
      </x:c>
      <x:c r="E193" s="33" t="str">
        <x:v>-</x:v>
      </x:c>
      <x:c r="F193" s="33" t="str">
        <x:v>EA</x:v>
      </x:c>
      <x:c r="G193" s="39" t="n">
        <x:v>5</x:v>
      </x:c>
      <x:c r="H193" s="39" t="n">
        <x:v>180000</x:v>
      </x:c>
      <x:c r="I193" s="39" t="n">
        <x:v>900000</x:v>
      </x:c>
      <x:c r="J193" s="39" t="n">
        <x:f>G193*H193</x:f>
        <x:v>900000</x:v>
      </x:c>
      <x:c r="K193" s="33" t="str">
        <x:f>IF(I193=J193,"일치","불일치")</x:f>
        <x:v>일치</x:v>
      </x:c>
      <x:c r="L193" s="33" t="str">
        <x:v>레이저장비 부품</x:v>
      </x:c>
      <x:c r="M193" s="34" t="str">
        <x:v>p.1 발주내용 품목표</x:v>
      </x:c>
    </x:row>
    <x:row r="194" ht="24" customHeight="1">
      <x:c r="A194" s="32" t="str">
        <x:v>PO-048</x:v>
      </x:c>
      <x:c r="B194" s="33" t="str">
        <x:v>발주서_48.pdf</x:v>
      </x:c>
      <x:c r="C194" s="33" t="n">
        <x:v>2</x:v>
      </x:c>
      <x:c r="D194" s="33" t="str">
        <x:v>LR2000</x:v>
      </x:c>
      <x:c r="E194" s="33" t="str">
        <x:v>-</x:v>
      </x:c>
      <x:c r="F194" s="33" t="str">
        <x:v>EA</x:v>
      </x:c>
      <x:c r="G194" s="39" t="n">
        <x:v>7</x:v>
      </x:c>
      <x:c r="H194" s="39" t="n">
        <x:v>5200000</x:v>
      </x:c>
      <x:c r="I194" s="39" t="n">
        <x:v>36400000</x:v>
      </x:c>
      <x:c r="J194" s="39" t="n">
        <x:f>G194*H194</x:f>
        <x:v>36400000</x:v>
      </x:c>
      <x:c r="K194" s="33" t="str">
        <x:f>IF(I194=J194,"일치","불일치")</x:f>
        <x:v>일치</x:v>
      </x:c>
      <x:c r="L194" s="33" t="str">
        <x:v>레이저장비 시스템</x:v>
      </x:c>
      <x:c r="M194" s="34" t="str">
        <x:v>p.1 발주내용 품목표</x:v>
      </x:c>
    </x:row>
    <x:row r="195" ht="24" customHeight="1">
      <x:c r="A195" s="32" t="str">
        <x:v>PO-048</x:v>
      </x:c>
      <x:c r="B195" s="33" t="str">
        <x:v>발주서_48.pdf</x:v>
      </x:c>
      <x:c r="C195" s="33" t="n">
        <x:v>3</x:v>
      </x:c>
      <x:c r="D195" s="33" t="str">
        <x:v>LR-CORE1</x:v>
      </x:c>
      <x:c r="E195" s="33" t="str">
        <x:v>-</x:v>
      </x:c>
      <x:c r="F195" s="33" t="str">
        <x:v>EA</x:v>
      </x:c>
      <x:c r="G195" s="39" t="n">
        <x:v>14</x:v>
      </x:c>
      <x:c r="H195" s="39" t="n">
        <x:v>4200000</x:v>
      </x:c>
      <x:c r="I195" s="39" t="n">
        <x:v>58800000</x:v>
      </x:c>
      <x:c r="J195" s="39" t="n">
        <x:f>G195*H195</x:f>
        <x:v>58800000</x:v>
      </x:c>
      <x:c r="K195" s="33" t="str">
        <x:f>IF(I195=J195,"일치","불일치")</x:f>
        <x:v>일치</x:v>
      </x:c>
      <x:c r="L195" s="33" t="str">
        <x:v>레이저장비 액세서리</x:v>
      </x:c>
      <x:c r="M195" s="34" t="str">
        <x:v>p.1 발주내용 품목표</x:v>
      </x:c>
    </x:row>
    <x:row r="196" ht="24" customHeight="1">
      <x:c r="A196" s="32" t="str">
        <x:v>PO-048</x:v>
      </x:c>
      <x:c r="B196" s="33" t="str">
        <x:v>발주서_48.pdf</x:v>
      </x:c>
      <x:c r="C196" s="33" t="n">
        <x:v>4</x:v>
      </x:c>
      <x:c r="D196" s="33" t="str">
        <x:v>LP1000</x:v>
      </x:c>
      <x:c r="E196" s="33" t="str">
        <x:v>-</x:v>
      </x:c>
      <x:c r="F196" s="33" t="str">
        <x:v>EA</x:v>
      </x:c>
      <x:c r="G196" s="39" t="n">
        <x:v>14</x:v>
      </x:c>
      <x:c r="H196" s="39" t="n">
        <x:v>130000</x:v>
      </x:c>
      <x:c r="I196" s="39" t="n">
        <x:v>1820000</x:v>
      </x:c>
      <x:c r="J196" s="39" t="n">
        <x:f>G196*H196</x:f>
        <x:v>1820000</x:v>
      </x:c>
      <x:c r="K196" s="33" t="str">
        <x:f>IF(I196=J196,"일치","불일치")</x:f>
        <x:v>일치</x:v>
      </x:c>
      <x:c r="L196" s="33" t="str">
        <x:v>레이저장비 프로브</x:v>
      </x:c>
      <x:c r="M196" s="34" t="str">
        <x:v>p.1 발주내용 품목표</x:v>
      </x:c>
    </x:row>
    <x:row r="197" ht="24" customHeight="1">
      <x:c r="A197" s="32" t="str">
        <x:v>PO-049</x:v>
      </x:c>
      <x:c r="B197" s="33" t="str">
        <x:v>발주서_49.pdf</x:v>
      </x:c>
      <x:c r="C197" s="33" t="n">
        <x:v>1</x:v>
      </x:c>
      <x:c r="D197" s="33" t="str">
        <x:v>LP200</x:v>
      </x:c>
      <x:c r="E197" s="33" t="str">
        <x:v>-</x:v>
      </x:c>
      <x:c r="F197" s="33" t="str">
        <x:v>EA</x:v>
      </x:c>
      <x:c r="G197" s="39" t="n">
        <x:v>13</x:v>
      </x:c>
      <x:c r="H197" s="39" t="n">
        <x:v>240000</x:v>
      </x:c>
      <x:c r="I197" s="39" t="n">
        <x:v>3120000</x:v>
      </x:c>
      <x:c r="J197" s="39" t="n">
        <x:f>G197*H197</x:f>
        <x:v>3120000</x:v>
      </x:c>
      <x:c r="K197" s="33" t="str">
        <x:f>IF(I197=J197,"일치","불일치")</x:f>
        <x:v>일치</x:v>
      </x:c>
      <x:c r="L197" s="33" t="str">
        <x:v>레이저장비 부품</x:v>
      </x:c>
      <x:c r="M197" s="34" t="str">
        <x:v>p.1 발주내용 품목표</x:v>
      </x:c>
    </x:row>
    <x:row r="198" ht="24" customHeight="1">
      <x:c r="A198" s="32" t="str">
        <x:v>PO-049</x:v>
      </x:c>
      <x:c r="B198" s="33" t="str">
        <x:v>발주서_49.pdf</x:v>
      </x:c>
      <x:c r="C198" s="33" t="n">
        <x:v>2</x:v>
      </x:c>
      <x:c r="D198" s="33" t="str">
        <x:v>LR1000</x:v>
      </x:c>
      <x:c r="E198" s="33" t="str">
        <x:v>-</x:v>
      </x:c>
      <x:c r="F198" s="33" t="str">
        <x:v>EA</x:v>
      </x:c>
      <x:c r="G198" s="39" t="n">
        <x:v>2</x:v>
      </x:c>
      <x:c r="H198" s="39" t="n">
        <x:v>4500000</x:v>
      </x:c>
      <x:c r="I198" s="39" t="n">
        <x:v>9000000</x:v>
      </x:c>
      <x:c r="J198" s="39" t="n">
        <x:f>G198*H198</x:f>
        <x:v>9000000</x:v>
      </x:c>
      <x:c r="K198" s="33" t="str">
        <x:f>IF(I198=J198,"일치","불일치")</x:f>
        <x:v>일치</x:v>
      </x:c>
      <x:c r="L198" s="33" t="str">
        <x:v>레이저장비 시스템</x:v>
      </x:c>
      <x:c r="M198" s="34" t="str">
        <x:v>p.1 발주내용 품목표</x:v>
      </x:c>
    </x:row>
    <x:row r="199" ht="24" customHeight="1">
      <x:c r="A199" s="32" t="str">
        <x:v>PO-049</x:v>
      </x:c>
      <x:c r="B199" s="33" t="str">
        <x:v>발주서_49.pdf</x:v>
      </x:c>
      <x:c r="C199" s="33" t="n">
        <x:v>3</x:v>
      </x:c>
      <x:c r="D199" s="33" t="str">
        <x:v>LR-PRO</x:v>
      </x:c>
      <x:c r="E199" s="33" t="str">
        <x:v>-</x:v>
      </x:c>
      <x:c r="F199" s="33" t="str">
        <x:v>EA</x:v>
      </x:c>
      <x:c r="G199" s="39" t="n">
        <x:v>9</x:v>
      </x:c>
      <x:c r="H199" s="39" t="n">
        <x:v>6000000</x:v>
      </x:c>
      <x:c r="I199" s="39" t="n">
        <x:v>54000000</x:v>
      </x:c>
      <x:c r="J199" s="39" t="n">
        <x:f>G199*H199</x:f>
        <x:v>54000000</x:v>
      </x:c>
      <x:c r="K199" s="33" t="str">
        <x:f>IF(I199=J199,"일치","불일치")</x:f>
        <x:v>일치</x:v>
      </x:c>
      <x:c r="L199" s="33" t="str">
        <x:v>레이저장비 시스템</x:v>
      </x:c>
      <x:c r="M199" s="34" t="str">
        <x:v>p.1 발주내용 품목표</x:v>
      </x:c>
    </x:row>
    <x:row r="200" ht="24" customHeight="1">
      <x:c r="A200" s="32" t="str">
        <x:v>PO-049</x:v>
      </x:c>
      <x:c r="B200" s="33" t="str">
        <x:v>발주서_49.pdf</x:v>
      </x:c>
      <x:c r="C200" s="33" t="n">
        <x:v>4</x:v>
      </x:c>
      <x:c r="D200" s="33" t="str">
        <x:v>LR-CORE2</x:v>
      </x:c>
      <x:c r="E200" s="33" t="str">
        <x:v>-</x:v>
      </x:c>
      <x:c r="F200" s="33" t="str">
        <x:v>EA</x:v>
      </x:c>
      <x:c r="G200" s="39" t="n">
        <x:v>14</x:v>
      </x:c>
      <x:c r="H200" s="39" t="n">
        <x:v>4800000</x:v>
      </x:c>
      <x:c r="I200" s="39" t="n">
        <x:v>67200000</x:v>
      </x:c>
      <x:c r="J200" s="39" t="n">
        <x:f>G200*H200</x:f>
        <x:v>67200000</x:v>
      </x:c>
      <x:c r="K200" s="33" t="str">
        <x:f>IF(I200=J200,"일치","불일치")</x:f>
        <x:v>일치</x:v>
      </x:c>
      <x:c r="L200" s="33" t="str">
        <x:v>레이저장비 액세서리</x:v>
      </x:c>
      <x:c r="M200" s="34" t="str">
        <x:v>p.1 발주내용 품목표</x:v>
      </x:c>
    </x:row>
    <x:row r="201" ht="24" customHeight="1">
      <x:c r="A201" s="32" t="str">
        <x:v>PO-050</x:v>
      </x:c>
      <x:c r="B201" s="33" t="str">
        <x:v>발주서_50.pdf</x:v>
      </x:c>
      <x:c r="C201" s="33" t="n">
        <x:v>1</x:v>
      </x:c>
      <x:c r="D201" s="33" t="str">
        <x:v>LP1000</x:v>
      </x:c>
      <x:c r="E201" s="33" t="str">
        <x:v>-</x:v>
      </x:c>
      <x:c r="F201" s="33" t="str">
        <x:v>EA</x:v>
      </x:c>
      <x:c r="G201" s="39" t="n">
        <x:v>6</x:v>
      </x:c>
      <x:c r="H201" s="39" t="n">
        <x:v>130000</x:v>
      </x:c>
      <x:c r="I201" s="39" t="n">
        <x:v>780000</x:v>
      </x:c>
      <x:c r="J201" s="39" t="n">
        <x:f>G201*H201</x:f>
        <x:v>780000</x:v>
      </x:c>
      <x:c r="K201" s="33" t="str">
        <x:f>IF(I201=J201,"일치","불일치")</x:f>
        <x:v>일치</x:v>
      </x:c>
      <x:c r="L201" s="33" t="str">
        <x:v>레이저장비 프로브</x:v>
      </x:c>
      <x:c r="M201" s="34" t="str">
        <x:v>p.1 발주내용 품목표</x:v>
      </x:c>
    </x:row>
    <x:row r="202" ht="24" customHeight="1">
      <x:c r="A202" s="32" t="str">
        <x:v>PO-050</x:v>
      </x:c>
      <x:c r="B202" s="33" t="str">
        <x:v>발주서_50.pdf</x:v>
      </x:c>
      <x:c r="C202" s="33" t="n">
        <x:v>2</x:v>
      </x:c>
      <x:c r="D202" s="33" t="str">
        <x:v>LP2000</x:v>
      </x:c>
      <x:c r="E202" s="33" t="str">
        <x:v>-</x:v>
      </x:c>
      <x:c r="F202" s="33" t="str">
        <x:v>EA</x:v>
      </x:c>
      <x:c r="G202" s="39" t="n">
        <x:v>2</x:v>
      </x:c>
      <x:c r="H202" s="39" t="n">
        <x:v>175000</x:v>
      </x:c>
      <x:c r="I202" s="39" t="n">
        <x:v>350000</x:v>
      </x:c>
      <x:c r="J202" s="39" t="n">
        <x:f>G202*H202</x:f>
        <x:v>350000</x:v>
      </x:c>
      <x:c r="K202" s="33" t="str">
        <x:f>IF(I202=J202,"일치","불일치")</x:f>
        <x:v>일치</x:v>
      </x:c>
      <x:c r="L202" s="33" t="str">
        <x:v>레이저장비 프로브</x:v>
      </x:c>
      <x:c r="M202" s="34" t="str">
        <x:v>p.1 발주내용 품목표</x:v>
      </x:c>
    </x:row>
    <x:row r="203" ht="24" customHeight="1">
      <x:c r="A203" s="32" t="str">
        <x:v>PO-050</x:v>
      </x:c>
      <x:c r="B203" s="33" t="str">
        <x:v>발주서_50.pdf</x:v>
      </x:c>
      <x:c r="C203" s="33" t="n">
        <x:v>3</x:v>
      </x:c>
      <x:c r="D203" s="33" t="str">
        <x:v>LR-CORE3</x:v>
      </x:c>
      <x:c r="E203" s="33" t="str">
        <x:v>-</x:v>
      </x:c>
      <x:c r="F203" s="33" t="str">
        <x:v>EA</x:v>
      </x:c>
      <x:c r="G203" s="39" t="n">
        <x:v>4</x:v>
      </x:c>
      <x:c r="H203" s="39" t="n">
        <x:v>60000</x:v>
      </x:c>
      <x:c r="I203" s="39" t="n">
        <x:v>240000</x:v>
      </x:c>
      <x:c r="J203" s="39" t="n">
        <x:f>G203*H203</x:f>
        <x:v>240000</x:v>
      </x:c>
      <x:c r="K203" s="33" t="str">
        <x:f>IF(I203=J203,"일치","불일치")</x:f>
        <x:v>일치</x:v>
      </x:c>
      <x:c r="L203" s="33" t="str">
        <x:v>레이저장비 액세서리</x:v>
      </x:c>
      <x:c r="M203" s="34" t="str">
        <x:v>p.1 발주내용 품목표</x:v>
      </x:c>
    </x:row>
    <x:row r="204" ht="24" customHeight="1">
      <x:c r="A204" s="35" t="str">
        <x:v>PO-050</x:v>
      </x:c>
      <x:c r="B204" s="36" t="str">
        <x:v>발주서_50.pdf</x:v>
      </x:c>
      <x:c r="C204" s="36" t="n">
        <x:v>4</x:v>
      </x:c>
      <x:c r="D204" s="36" t="str">
        <x:v>LR-CORE1</x:v>
      </x:c>
      <x:c r="E204" s="36" t="str">
        <x:v>-</x:v>
      </x:c>
      <x:c r="F204" s="36" t="str">
        <x:v>EA</x:v>
      </x:c>
      <x:c r="G204" s="40" t="n">
        <x:v>2</x:v>
      </x:c>
      <x:c r="H204" s="40" t="n">
        <x:v>4200000</x:v>
      </x:c>
      <x:c r="I204" s="40" t="n">
        <x:v>8400000</x:v>
      </x:c>
      <x:c r="J204" s="40" t="n">
        <x:f>G204*H204</x:f>
        <x:v>8400000</x:v>
      </x:c>
      <x:c r="K204" s="36" t="str">
        <x:f>IF(I204=J204,"일치","불일치")</x:f>
        <x:v>일치</x:v>
      </x:c>
      <x:c r="L204" s="36" t="str">
        <x:v>레이저장비 액세서리</x:v>
      </x:c>
      <x:c r="M204" s="37" t="str">
        <x:v>p.1 발주내용 품목표</x:v>
      </x:c>
    </x:row>
  </x:sheetData>
  <x:conditionalFormatting sqref="K5:K204">
    <x:cfRule type="containsText" dxfId="1" priority="1" operator="containsText" text="불일치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58" hidden="0" customWidth="1"/>
    <x:col min="3" max="3" width="14" hidden="0" customWidth="1"/>
    <x:col min="4" max="4" width="44" hidden="0" customWidth="1"/>
  </x:cols>
  <x:sheetData>
    <x:row r="1" ht="24" customHeight="1">
      <x:c r="A1" s="3" t="str">
        <x:v>정답 필드 기준</x:v>
      </x:c>
      <x:c r="B1" s="3"/>
      <x:c r="C1" s="3"/>
      <x:c r="D1" s="3"/>
    </x:row>
    <x:row r="2" ht="24" customHeight="1">
      <x:c r="A2" s="4" t="str">
        <x:v>원문에 없는 값은 빈칸으로 유지하고, 직접 확인값·추론값·미확인값을 구분</x:v>
      </x:c>
      <x:c r="B2" s="4"/>
      <x:c r="C2" s="4"/>
      <x:c r="D2" s="4"/>
    </x:row>
    <x:row r="3">
      <x:c r="A3" s="2"/>
      <x:c r="B3" s="2"/>
      <x:c r="C3" s="2"/>
      <x:c r="D3" s="2"/>
    </x:row>
    <x:row r="4" ht="30" customHeight="1">
      <x:c r="A4" s="18" t="str">
        <x:v>필드</x:v>
      </x:c>
      <x:c r="B4" s="19" t="str">
        <x:v>처리 기준</x:v>
      </x:c>
      <x:c r="C4" s="19" t="str">
        <x:v>근거 등급</x:v>
      </x:c>
      <x:c r="D4" s="20" t="str">
        <x:v>비고</x:v>
      </x:c>
    </x:row>
    <x:row r="5" ht="36" customHeight="1">
      <x:c r="A5" s="29" t="str">
        <x:v>문서 ID</x:v>
      </x:c>
      <x:c r="B5" s="30" t="str">
        <x:v>PO-001~PO-050 내부 식별자</x:v>
      </x:c>
      <x:c r="C5" s="44" t="str">
        <x:v>[추론]</x:v>
      </x:c>
      <x:c r="D5" s="31" t="str">
        <x:v>파일 순번을 기준으로 부여</x:v>
      </x:c>
    </x:row>
    <x:row r="6" ht="36" customHeight="1">
      <x:c r="A6" s="32" t="str">
        <x:v>파일명</x:v>
      </x:c>
      <x:c r="B6" s="33" t="str">
        <x:v>발주서_1.pdf~발주서_50.pdf</x:v>
      </x:c>
      <x:c r="C6" s="45" t="str">
        <x:v>[검증]</x:v>
      </x:c>
      <x:c r="D6" s="34" t="str">
        <x:v>대상 PDF 파일명</x:v>
      </x:c>
    </x:row>
    <x:row r="7" ht="36" customHeight="1">
      <x:c r="A7" s="32" t="str">
        <x:v>원본 형식·페이지 수</x:v>
      </x:c>
      <x:c r="B7" s="33" t="str">
        <x:v>PDF·1페이지</x:v>
      </x:c>
      <x:c r="C7" s="45" t="str">
        <x:v>[검증]</x:v>
      </x:c>
      <x:c r="D7" s="34" t="str">
        <x:v>PDF 메타데이터 확인</x:v>
      </x:c>
    </x:row>
    <x:row r="8" ht="36" customHeight="1">
      <x:c r="A8" s="32" t="str">
        <x:v>문서명·문서 유형</x:v>
      </x:c>
      <x:c r="B8" s="33" t="str">
        <x:v>발주서</x:v>
      </x:c>
      <x:c r="C8" s="45" t="str">
        <x:v>[검증]</x:v>
      </x:c>
      <x:c r="D8" s="34" t="str">
        <x:v>원본 양식 제목 기준</x:v>
      </x:c>
    </x:row>
    <x:row r="9" ht="36" customHeight="1">
      <x:c r="A9" s="32" t="str">
        <x:v>공급자 기본정보</x:v>
      </x:c>
      <x:c r="B9" s="33" t="str">
        <x:v>감성과학 및 양식에 표시된 사업자번호·주소·전화·FAX·담당자</x:v>
      </x:c>
      <x:c r="C9" s="45" t="str">
        <x:v>[검증]</x:v>
      </x:c>
      <x:c r="D9" s="34" t="str">
        <x:v>공통 원본 양식에서 확인</x:v>
      </x:c>
    </x:row>
    <x:row r="10" ht="36" customHeight="1">
      <x:c r="A10" s="32" t="str">
        <x:v>발주자 기본정보</x:v>
      </x:c>
      <x:c r="B10" s="33" t="str">
        <x:v>업체명·사업자번호·주소·전화·FAX</x:v>
      </x:c>
      <x:c r="C10" s="45" t="str">
        <x:v>[검증]</x:v>
      </x:c>
      <x:c r="D10" s="34" t="str">
        <x:v>문서별 발주자 표 직접 확인</x:v>
      </x:c>
    </x:row>
    <x:row r="11" ht="36" customHeight="1">
      <x:c r="A11" s="32" t="str">
        <x:v>발주자 담당자</x:v>
      </x:c>
      <x:c r="B11" s="33" t="str">
        <x:v>구매팀 담당자명</x:v>
      </x:c>
      <x:c r="C11" s="45" t="str">
        <x:v>[검증]</x:v>
      </x:c>
      <x:c r="D11" s="34" t="str">
        <x:v>문서별 발주자 표 직접 확인</x:v>
      </x:c>
    </x:row>
    <x:row r="12" ht="36" customHeight="1">
      <x:c r="A12" s="32" t="str">
        <x:v>발주일자·납기일자</x:v>
      </x:c>
      <x:c r="B12" s="33" t="str">
        <x:v>공란</x:v>
      </x:c>
      <x:c r="C12" s="45" t="str">
        <x:v>[미확인]</x:v>
      </x:c>
      <x:c r="D12" s="34" t="str">
        <x:v>원문 양식의 해당 입력칸이 비어 있음</x:v>
      </x:c>
    </x:row>
    <x:row r="13" ht="36" customHeight="1">
      <x:c r="A13" s="32" t="str">
        <x:v>납품장소</x:v>
      </x:c>
      <x:c r="B13" s="33" t="str">
        <x:v>발주자 주소</x:v>
      </x:c>
      <x:c r="C13" s="45" t="str">
        <x:v>[검증]</x:v>
      </x:c>
      <x:c r="D13" s="34" t="str">
        <x:v>원문 발주조건의 납품장소</x:v>
      </x:c>
    </x:row>
    <x:row r="14" ht="36" customHeight="1">
      <x:c r="A14" s="32" t="str">
        <x:v>대금 지급조건</x:v>
      </x:c>
      <x:c r="B14" s="33" t="str">
        <x:v>계산서발행일로부터 익월이내</x:v>
      </x:c>
      <x:c r="C14" s="45" t="str">
        <x:v>[검증]</x:v>
      </x:c>
      <x:c r="D14" s="34" t="str">
        <x:v>원문 발주조건 표기</x:v>
      </x:c>
    </x:row>
    <x:row r="15" ht="36" customHeight="1">
      <x:c r="A15" s="32" t="str">
        <x:v>대금 지급방법·용도</x:v>
      </x:c>
      <x:c r="B15" s="33" t="str">
        <x:v>공란</x:v>
      </x:c>
      <x:c r="C15" s="45" t="str">
        <x:v>[미확인]</x:v>
      </x:c>
      <x:c r="D15" s="34" t="str">
        <x:v>원문 양식의 해당 입력칸이 비어 있음</x:v>
      </x:c>
    </x:row>
    <x:row r="16" ht="36" customHeight="1">
      <x:c r="A16" s="32" t="str">
        <x:v>통화·총액</x:v>
      </x:c>
      <x:c r="B16" s="33" t="str">
        <x:v>KRW·합계금액</x:v>
      </x:c>
      <x:c r="C16" s="45" t="str">
        <x:v>[검증]</x:v>
      </x:c>
      <x:c r="D16" s="34" t="str">
        <x:v>원문 ₩ 표기 및 합계금액</x:v>
      </x:c>
    </x:row>
    <x:row r="17" ht="36" customHeight="1">
      <x:c r="A17" s="32" t="str">
        <x:v>품목 정답</x:v>
      </x:c>
      <x:c r="B17" s="33" t="str">
        <x:v>품명·규격·단위·수량·단가·금액·비고</x:v>
      </x:c>
      <x:c r="C17" s="45" t="str">
        <x:v>[검증]</x:v>
      </x:c>
      <x:c r="D17" s="34" t="str">
        <x:v>p.1 발주내용 품목표 직접 확인</x:v>
      </x:c>
    </x:row>
    <x:row r="18" ht="36" customHeight="1">
      <x:c r="A18" s="32" t="str">
        <x:v>정답 요약</x:v>
      </x:c>
      <x:c r="B18" s="33" t="str">
        <x:v>발주자·공급자·납품장소·총액·품목행 조합</x:v>
      </x:c>
      <x:c r="C18" s="45" t="str">
        <x:v>[추론]</x:v>
      </x:c>
      <x:c r="D18" s="34" t="str">
        <x:v>전제: 같은 PDF의 직접 확인값만 사용</x:v>
      </x:c>
    </x:row>
    <x:row r="19" ht="36" customHeight="1">
      <x:c r="A19" s="35" t="str">
        <x:v>검산</x:v>
      </x:c>
      <x:c r="B19" s="36" t="str">
        <x:v>품목 금액 합계 = 총액; 수량×단가 = 금액</x:v>
      </x:c>
      <x:c r="C19" s="46" t="str">
        <x:v>[검증]</x:v>
      </x:c>
      <x:c r="D19" s="37" t="str">
        <x:v>Excel 수식으로 재검산</x:v>
      </x:c>
    </x:row>
  </x:sheetData>
  <x:pageMargins left="0.7" right="0.7" top="0.75" bottom="0.75" header="0.3" footer="0.3"/>
</x:worksheet>
</file>