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27053b771148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문서 정답" sheetId="1" r:id="Rf00d806ca1b54978"/>
    <x:sheet xmlns:r="http://schemas.openxmlformats.org/officeDocument/2006/relationships" name="품목 정답" sheetId="2" r:id="Ra1618b2f3fca4a0f"/>
    <x:sheet xmlns:r="http://schemas.openxmlformats.org/officeDocument/2006/relationships" name="필드 기준" sheetId="3" r:id="R3d228fa71f024c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6">
    <x:font>
      <x:sz val="11"/>
      <x:name val="Carlito"/>
    </x:font>
    <x:font>
      <x:sz val="10"/>
      <x:color rgb="FF172033"/>
      <x:name val="Arial"/>
    </x:font>
    <x:font>
      <x:b/>
      <x:sz val="16"/>
      <x:color rgb="FF17365D"/>
      <x:name val="Arial"/>
    </x:font>
    <x:font>
      <x:i/>
      <x:sz val="10"/>
      <x:color rgb="FF64748B"/>
      <x:name val="Arial"/>
    </x:font>
    <x:font>
      <x:b/>
      <x:sz val="10"/>
      <x:color rgb="FF17365D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CE6F1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15">
    <x:border/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FFFFFF"/>
      </x:left>
      <x:top style="thin">
        <x:color rgb="FFFFFFFF"/>
      </x:top>
      <x:bottom style="thin">
        <x:color rgb="FFFFFFFF"/>
      </x:bottom>
    </x:border>
    <x:border>
      <x:top style="thin">
        <x:color rgb="FFFFFFFF"/>
      </x:top>
      <x:bottom style="thin">
        <x:color rgb="FFFFFFFF"/>
      </x:bottom>
    </x:border>
    <x:border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4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vertical="center"/>
    </x:xf>
    <x:xf numFmtId="0" fontId="5" fillId="3" borderId="6" xfId="0" applyNumberFormat="1" applyFont="1" applyFill="1" applyBorder="1" applyAlignment="1">
      <x:alignment vertical="center"/>
    </x:xf>
    <x:xf numFmtId="0" fontId="5" fillId="3" borderId="4" xfId="0" applyNumberFormat="1" applyFont="1" applyFill="1" applyBorder="1" applyAlignment="1">
      <x:alignment vertical="center" wrapText="1"/>
    </x:xf>
    <x:xf numFmtId="0" fontId="5" fillId="3" borderId="5" xfId="0" applyNumberFormat="1" applyFont="1" applyFill="1" applyBorder="1" applyAlignment="1">
      <x:alignment vertical="center" wrapText="1"/>
    </x:xf>
    <x:xf numFmtId="0" fontId="5" fillId="3" borderId="6" xfId="0" applyNumberFormat="1" applyFont="1" applyFill="1" applyBorder="1" applyAlignment="1">
      <x:alignment vertical="center" wrapText="1"/>
    </x:xf>
    <x:xf numFmtId="0" fontId="5" fillId="3" borderId="4" xfId="0" applyNumberFormat="1" applyFont="1" applyFill="1" applyBorder="1" applyAlignment="1">
      <x:alignment horizontal="center" vertic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5" fillId="3" borderId="6" xfId="0" applyNumberFormat="1" applyFont="1" applyFill="1" applyBorder="1" applyAlignment="1">
      <x:alignment horizontal="center" vertical="center" wrapText="1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0" fontId="1" fillId="0" borderId="11" xfId="0" applyNumberFormat="1" applyFont="1" applyFill="1" applyBorder="1" applyAlignment="1">
      <x:alignment vertical="center"/>
    </x:xf>
    <x:xf numFmtId="0" fontId="1" fillId="0" borderId="12" xfId="0" applyNumberFormat="1" applyFont="1" applyFill="1" applyBorder="1" applyAlignment="1">
      <x:alignment vertical="center"/>
    </x:xf>
    <x:xf numFmtId="0" fontId="1" fillId="0" borderId="13" xfId="0" applyNumberFormat="1" applyFont="1" applyFill="1" applyBorder="1" applyAlignment="1">
      <x:alignment vertical="center"/>
    </x:xf>
    <x:xf numFmtId="0" fontId="1" fillId="0" borderId="14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1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center" wrapText="1"/>
    </x:xf>
    <x:xf numFmtId="0" fontId="1" fillId="0" borderId="12" xfId="0" applyNumberFormat="1" applyFont="1" applyFill="1" applyBorder="1" applyAlignment="1">
      <x:alignment vertical="center" wrapText="1"/>
    </x:xf>
    <x:xf numFmtId="0" fontId="1" fillId="0" borderId="13" xfId="0" applyNumberFormat="1" applyFont="1" applyFill="1" applyBorder="1" applyAlignment="1">
      <x:alignment vertical="center" wrapText="1"/>
    </x:xf>
    <x:xf numFmtId="0" fontId="1" fillId="0" borderId="14" xfId="0" applyNumberFormat="1" applyFont="1" applyFill="1" applyBorder="1" applyAlignment="1">
      <x:alignment vertical="center" wrapText="1"/>
    </x:xf>
    <x:xf numFmtId="200" fontId="1" fillId="0" borderId="8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13" xfId="0" applyNumberFormat="1" applyFont="1" applyFill="1" applyBorder="1" applyAlignment="1">
      <x:alignment vertical="center" wrapText="1"/>
    </x:xf>
    <x:xf numFmtId="201" fontId="1" fillId="0" borderId="8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13" xfId="0" applyNumberFormat="1" applyFont="1" applyFill="1" applyBorder="1" applyAlignment="1">
      <x:alignment vertical="center" wrapText="1"/>
    </x:xf>
    <x:xf numFmtId="200" fontId="1" fillId="4" borderId="8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0" fontId="1" fillId="4" borderId="13" xfId="0" applyNumberFormat="1" applyFont="1" applyFill="1" applyBorder="1" applyAlignment="1">
      <x:alignment vertical="center" wrapText="1"/>
    </x:xf>
    <x:xf numFmtId="0" fontId="1" fillId="4" borderId="8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13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3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B42318"/>
      </x:font>
      <x:fill>
        <x:patternFill patternType="solid">
          <x:bgColor rgb="FFFDE2E1"/>
        </x:patternFill>
      </x:fill>
    </x:dxf>
    <x:dxf>
      <x:font>
        <x:b/>
        <x:color rgb="FFB42318"/>
      </x:font>
      <x:fill>
        <x:patternFill patternType="solid">
          <x:bgColor rgb="FFFDE2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b80142b7da404f" /><Relationship Type="http://schemas.openxmlformats.org/officeDocument/2006/relationships/theme" Target="/xl/theme/theme1.xml" Id="R898d1f48fabb48cc" /><Relationship Type="http://schemas.openxmlformats.org/officeDocument/2006/relationships/sharedStrings" Target="/xl/sharedStrings.xml" Id="R32bbb8db744b4ea4" /><Relationship Type="http://schemas.openxmlformats.org/officeDocument/2006/relationships/worksheet" Target="/xl/worksheets/sheet1.xml" Id="Rf00d806ca1b54978" /><Relationship Type="http://schemas.openxmlformats.org/officeDocument/2006/relationships/worksheet" Target="/xl/worksheets/sheet2.xml" Id="Ra1618b2f3fca4a0f" /><Relationship Type="http://schemas.openxmlformats.org/officeDocument/2006/relationships/worksheet" Target="/xl/worksheets/sheet3.xml" Id="R3d228fa71f024c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0" hidden="0" customWidth="1"/>
    <x:col min="4" max="4" width="10" hidden="0" customWidth="1"/>
    <x:col min="5" max="5" width="11" hidden="0" customWidth="1"/>
    <x:col min="6" max="6" width="11" hidden="0" customWidth="1"/>
    <x:col min="7" max="7" width="18" hidden="0" customWidth="1"/>
    <x:col min="8" max="8" width="12" hidden="0" customWidth="1"/>
    <x:col min="9" max="9" width="12" hidden="0" customWidth="1"/>
    <x:col min="10" max="10" width="13" hidden="0" customWidth="1"/>
    <x:col min="11" max="11" width="19" hidden="0" customWidth="1"/>
    <x:col min="12" max="12" width="18" hidden="0" customWidth="1"/>
    <x:col min="13" max="13" width="9" hidden="0" customWidth="1"/>
    <x:col min="14" max="14" width="14" hidden="0" customWidth="1"/>
    <x:col min="15" max="15" width="14" hidden="0" customWidth="1"/>
    <x:col min="16" max="16" width="16" hidden="0" customWidth="1"/>
    <x:col min="17" max="17" width="18" hidden="0" customWidth="1"/>
    <x:col min="18" max="18" width="16" hidden="0" customWidth="1"/>
    <x:col min="19" max="19" width="18" hidden="0" customWidth="1"/>
    <x:col min="20" max="20" width="9" hidden="0" customWidth="1"/>
    <x:col min="21" max="21" width="48" hidden="0" customWidth="1"/>
    <x:col min="22" max="22" width="52" hidden="0" customWidth="1"/>
    <x:col min="23" max="23" width="42" hidden="0" customWidth="1"/>
    <x:col min="24" max="24" width="18" hidden="0" customWidth="1"/>
    <x:col min="25" max="25" width="12" hidden="0" customWidth="1"/>
    <x:col min="26" max="26" width="12" hidden="0" customWidth="1"/>
  </x:cols>
  <x:sheetData>
    <x:row r="1" ht="24" customHeight="1">
      <x:c r="A1" s="3" t="str">
        <x:v>견적서 50개 OCR 정답지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24" customHeight="1">
      <x:c r="A2" s="4" t="str">
        <x:v>대상: 견적서_1.pdf~견적서_50.pdf / 원문에서 확인한 필드와 품목별 금액 검산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</x:row>
    <x:row r="3">
      <x:c r="A3" s="7" t="str">
        <x:v>문서 수</x:v>
      </x:c>
      <x:c r="B3" s="8" t="n">
        <x:f>COUNTA(A6:A55)</x:f>
        <x:v>50</x:v>
      </x:c>
      <x:c r="C3" s="8" t="str">
        <x:v>품목행 수</x:v>
      </x:c>
      <x:c r="D3" s="8" t="n">
        <x:f>COUNTA('품목 정답'!A5:A234)</x:f>
        <x:v>230</x:v>
      </x:c>
      <x:c r="E3" s="8" t="str">
        <x:v>합계 일치</x:v>
      </x:c>
      <x:c r="F3" s="9" t="n">
        <x:f>COUNTIF(Y6:Y55,"일치")</x:f>
        <x:v>50</x:v>
      </x:c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34" customHeight="1">
      <x:c r="A5" s="18" t="str">
        <x:v>문서 ID</x:v>
      </x:c>
      <x:c r="B5" s="19" t="str">
        <x:v>파일명</x:v>
      </x:c>
      <x:c r="C5" s="19" t="str">
        <x:v>원본 형식</x:v>
      </x:c>
      <x:c r="D5" s="19" t="str">
        <x:v>페이지 수</x:v>
      </x:c>
      <x:c r="E5" s="19" t="str">
        <x:v>문서명</x:v>
      </x:c>
      <x:c r="F5" s="19" t="str">
        <x:v>문서 유형</x:v>
      </x:c>
      <x:c r="G5" s="19" t="str">
        <x:v>고객사명</x:v>
      </x:c>
      <x:c r="H5" s="19" t="str">
        <x:v>담당자</x:v>
      </x:c>
      <x:c r="I5" s="19" t="str">
        <x:v>공급자</x:v>
      </x:c>
      <x:c r="J5" s="19" t="str">
        <x:v>견적일자</x:v>
      </x:c>
      <x:c r="K5" s="19" t="str">
        <x:v>유효기간</x:v>
      </x:c>
      <x:c r="L5" s="19" t="str">
        <x:v>견적번호</x:v>
      </x:c>
      <x:c r="M5" s="19" t="str">
        <x:v>통화</x:v>
      </x:c>
      <x:c r="N5" s="19" t="str">
        <x:v>공급가액</x:v>
      </x:c>
      <x:c r="O5" s="19" t="str">
        <x:v>부가세</x:v>
      </x:c>
      <x:c r="P5" s="19" t="str">
        <x:v>총액(VAT 포함)</x:v>
      </x:c>
      <x:c r="Q5" s="19" t="str">
        <x:v>납기/납품조건</x:v>
      </x:c>
      <x:c r="R5" s="19" t="str">
        <x:v>지급조건</x:v>
      </x:c>
      <x:c r="S5" s="19" t="str">
        <x:v>유지보수 조건</x:v>
      </x:c>
      <x:c r="T5" s="19" t="str">
        <x:v>품목 수</x:v>
      </x:c>
      <x:c r="U5" s="19" t="str">
        <x:v>정답 요약</x:v>
      </x:c>
      <x:c r="V5" s="19" t="str">
        <x:v>검색 키워드</x:v>
      </x:c>
      <x:c r="W5" s="19" t="str">
        <x:v>원문 근거</x:v>
      </x:c>
      <x:c r="X5" s="19" t="str">
        <x:v>품목금액 합계(검산)</x:v>
      </x:c>
      <x:c r="Y5" s="19" t="str">
        <x:v>합계 판정</x:v>
      </x:c>
      <x:c r="Z5" s="20" t="str">
        <x:v>근거 등급</x:v>
      </x:c>
    </x:row>
    <x:row r="6" ht="42" customHeight="1">
      <x:c r="A6" s="29" t="str">
        <x:v>QUOTE-001</x:v>
      </x:c>
      <x:c r="B6" s="30" t="str">
        <x:v>견적서_1.pdf</x:v>
      </x:c>
      <x:c r="C6" s="30" t="str">
        <x:v>PDF</x:v>
      </x:c>
      <x:c r="D6" s="30" t="n">
        <x:v>1</x:v>
      </x:c>
      <x:c r="E6" s="30" t="str">
        <x:v>견적서</x:v>
      </x:c>
      <x:c r="F6" s="30" t="str">
        <x:v>견적서</x:v>
      </x:c>
      <x:c r="G6" s="30" t="str">
        <x:v>한빛의료원</x:v>
      </x:c>
      <x:c r="H6" s="30"/>
      <x:c r="I6" s="30"/>
      <x:c r="J6" s="41" t="n">
        <x:v>46269</x:v>
      </x:c>
      <x:c r="K6" s="30" t="str">
        <x:v>견적일로부터 30일</x:v>
      </x:c>
      <x:c r="L6" s="30" t="str">
        <x:v>SL-260904-001</x:v>
      </x:c>
      <x:c r="M6" s="30" t="str">
        <x:v>KRW</x:v>
      </x:c>
      <x:c r="N6" s="44"/>
      <x:c r="O6" s="44"/>
      <x:c r="P6" s="38" t="n">
        <x:v>31035000</x:v>
      </x:c>
      <x:c r="Q6" s="47"/>
      <x:c r="R6" s="47"/>
      <x:c r="S6" s="47"/>
      <x:c r="T6" s="30" t="n">
        <x:f>COUNTIF('품목 정답'!$A$5:$A$234,A6)</x:f>
        <x:v>4</x:v>
      </x:c>
      <x:c r="U6" s="30" t="str">
        <x:v>한빛의료원 대상 레이저장비 견적. 견적일 2026-09-04, 총액 31,035,000원(VAT 포함), 품목 4행.</x:v>
      </x:c>
      <x:c r="V6" s="30" t="str">
        <x:v>견적서, 한빛의료원, SL-260904-001, 레이저장비, LP2000, LR-CORE2, LR1000, LP100</x:v>
      </x:c>
      <x:c r="W6" s="30" t="str">
        <x:v>p.1: 고객사명·견적일자·유효기간·견적번호·견적합계·품목표</x:v>
      </x:c>
      <x:c r="X6" s="38" t="n">
        <x:f>SUMIF('품목 정답'!$A$5:$A$234,A6,'품목 정답'!$I$5:$I$234)</x:f>
        <x:v>31035000</x:v>
      </x:c>
      <x:c r="Y6" s="30" t="str">
        <x:f>IF(X6=P6,"일치","불일치")</x:f>
        <x:v>일치</x:v>
      </x:c>
      <x:c r="Z6" s="31" t="str">
        <x:v>[검증]</x:v>
      </x:c>
    </x:row>
    <x:row r="7" ht="42" customHeight="1">
      <x:c r="A7" s="32" t="str">
        <x:v>QUOTE-002</x:v>
      </x:c>
      <x:c r="B7" s="33" t="str">
        <x:v>견적서_2.pdf</x:v>
      </x:c>
      <x:c r="C7" s="33" t="str">
        <x:v>PDF</x:v>
      </x:c>
      <x:c r="D7" s="33" t="n">
        <x:v>1</x:v>
      </x:c>
      <x:c r="E7" s="33" t="str">
        <x:v>견적서</x:v>
      </x:c>
      <x:c r="F7" s="33" t="str">
        <x:v>견적서</x:v>
      </x:c>
      <x:c r="G7" s="33" t="str">
        <x:v>새봄종합병원</x:v>
      </x:c>
      <x:c r="H7" s="33"/>
      <x:c r="I7" s="33"/>
      <x:c r="J7" s="42" t="n">
        <x:v>46269</x:v>
      </x:c>
      <x:c r="K7" s="33" t="str">
        <x:v>견적일로부터 30일</x:v>
      </x:c>
      <x:c r="L7" s="33" t="str">
        <x:v>SL-260904-002</x:v>
      </x:c>
      <x:c r="M7" s="33" t="str">
        <x:v>KRW</x:v>
      </x:c>
      <x:c r="N7" s="45"/>
      <x:c r="O7" s="45"/>
      <x:c r="P7" s="39" t="n">
        <x:v>40550000</x:v>
      </x:c>
      <x:c r="Q7" s="48"/>
      <x:c r="R7" s="48"/>
      <x:c r="S7" s="48"/>
      <x:c r="T7" s="33" t="n">
        <x:f>COUNTIF('품목 정답'!$A$5:$A$234,A7)</x:f>
        <x:v>6</x:v>
      </x:c>
      <x:c r="U7" s="33" t="str">
        <x:v>새봄종합병원 대상 레이저장비 견적. 견적일 2026-09-04, 총액 40,550,000원(VAT 포함), 품목 6행.</x:v>
      </x:c>
      <x:c r="V7" s="33" t="str">
        <x:v>견적서, 새봄종합병원, SL-260904-002, 레이저장비, LR-CORE2, LP2000, LR1000, LP1000, LP1500, LP200</x:v>
      </x:c>
      <x:c r="W7" s="33" t="str">
        <x:v>p.1: 고객사명·견적일자·유효기간·견적번호·견적합계·품목표</x:v>
      </x:c>
      <x:c r="X7" s="39" t="n">
        <x:f>SUMIF('품목 정답'!$A$5:$A$234,A7,'품목 정답'!$I$5:$I$234)</x:f>
        <x:v>40550000</x:v>
      </x:c>
      <x:c r="Y7" s="33" t="str">
        <x:f>IF(X7=P7,"일치","불일치")</x:f>
        <x:v>일치</x:v>
      </x:c>
      <x:c r="Z7" s="34" t="str">
        <x:v>[검증]</x:v>
      </x:c>
    </x:row>
    <x:row r="8" ht="42" customHeight="1">
      <x:c r="A8" s="32" t="str">
        <x:v>QUOTE-003</x:v>
      </x:c>
      <x:c r="B8" s="33" t="str">
        <x:v>견적서_3.pdf</x:v>
      </x:c>
      <x:c r="C8" s="33" t="str">
        <x:v>PDF</x:v>
      </x:c>
      <x:c r="D8" s="33" t="n">
        <x:v>1</x:v>
      </x:c>
      <x:c r="E8" s="33" t="str">
        <x:v>견적서</x:v>
      </x:c>
      <x:c r="F8" s="33" t="str">
        <x:v>견적서</x:v>
      </x:c>
      <x:c r="G8" s="33" t="str">
        <x:v>은하수병원</x:v>
      </x:c>
      <x:c r="H8" s="33"/>
      <x:c r="I8" s="33"/>
      <x:c r="J8" s="42" t="n">
        <x:v>46269</x:v>
      </x:c>
      <x:c r="K8" s="33" t="str">
        <x:v>견적일로부터 30일</x:v>
      </x:c>
      <x:c r="L8" s="33" t="str">
        <x:v>SL-260904-003</x:v>
      </x:c>
      <x:c r="M8" s="33" t="str">
        <x:v>KRW</x:v>
      </x:c>
      <x:c r="N8" s="45"/>
      <x:c r="O8" s="45"/>
      <x:c r="P8" s="39" t="n">
        <x:v>23740000</x:v>
      </x:c>
      <x:c r="Q8" s="48"/>
      <x:c r="R8" s="48"/>
      <x:c r="S8" s="48"/>
      <x:c r="T8" s="33" t="n">
        <x:f>COUNTIF('품목 정답'!$A$5:$A$234,A8)</x:f>
        <x:v>4</x:v>
      </x:c>
      <x:c r="U8" s="33" t="str">
        <x:v>은하수병원 대상 레이저장비 견적. 견적일 2026-09-04, 총액 23,740,000원(VAT 포함), 품목 4행.</x:v>
      </x:c>
      <x:c r="V8" s="33" t="str">
        <x:v>견적서, 은하수병원, SL-260904-003, 레이저장비, LP200, LR2000, LR-CORE1, LR-CORE3</x:v>
      </x:c>
      <x:c r="W8" s="33" t="str">
        <x:v>p.1: 고객사명·견적일자·유효기간·견적번호·견적합계·품목표</x:v>
      </x:c>
      <x:c r="X8" s="39" t="n">
        <x:f>SUMIF('품목 정답'!$A$5:$A$234,A8,'품목 정답'!$I$5:$I$234)</x:f>
        <x:v>23740000</x:v>
      </x:c>
      <x:c r="Y8" s="33" t="str">
        <x:f>IF(X8=P8,"일치","불일치")</x:f>
        <x:v>일치</x:v>
      </x:c>
      <x:c r="Z8" s="34" t="str">
        <x:v>[검증]</x:v>
      </x:c>
    </x:row>
    <x:row r="9" ht="42" customHeight="1">
      <x:c r="A9" s="32" t="str">
        <x:v>QUOTE-004</x:v>
      </x:c>
      <x:c r="B9" s="33" t="str">
        <x:v>견적서_4.pdf</x:v>
      </x:c>
      <x:c r="C9" s="33" t="str">
        <x:v>PDF</x:v>
      </x:c>
      <x:c r="D9" s="33" t="n">
        <x:v>1</x:v>
      </x:c>
      <x:c r="E9" s="33" t="str">
        <x:v>견적서</x:v>
      </x:c>
      <x:c r="F9" s="33" t="str">
        <x:v>견적서</x:v>
      </x:c>
      <x:c r="G9" s="33" t="str">
        <x:v>늘푸른의료원</x:v>
      </x:c>
      <x:c r="H9" s="33"/>
      <x:c r="I9" s="33"/>
      <x:c r="J9" s="42" t="n">
        <x:v>46269</x:v>
      </x:c>
      <x:c r="K9" s="33" t="str">
        <x:v>견적일로부터 30일</x:v>
      </x:c>
      <x:c r="L9" s="33" t="str">
        <x:v>SL-260904-004</x:v>
      </x:c>
      <x:c r="M9" s="33" t="str">
        <x:v>KRW</x:v>
      </x:c>
      <x:c r="N9" s="45"/>
      <x:c r="O9" s="45"/>
      <x:c r="P9" s="39" t="n">
        <x:v>16800000</x:v>
      </x:c>
      <x:c r="Q9" s="48"/>
      <x:c r="R9" s="48"/>
      <x:c r="S9" s="48"/>
      <x:c r="T9" s="33" t="n">
        <x:f>COUNTIF('품목 정답'!$A$5:$A$234,A9)</x:f>
        <x:v>4</x:v>
      </x:c>
      <x:c r="U9" s="33" t="str">
        <x:v>늘푸른의료원 대상 레이저장비 견적. 견적일 2026-09-04, 총액 16,800,000원(VAT 포함), 품목 4행.</x:v>
      </x:c>
      <x:c r="V9" s="33" t="str">
        <x:v>견적서, 늘푸른의료원, SL-260904-004, 레이저장비, LP2000, LR1000, LP1500, LR-CORE1</x:v>
      </x:c>
      <x:c r="W9" s="33" t="str">
        <x:v>p.1: 고객사명·견적일자·유효기간·견적번호·견적합계·품목표</x:v>
      </x:c>
      <x:c r="X9" s="39" t="n">
        <x:f>SUMIF('품목 정답'!$A$5:$A$234,A9,'품목 정답'!$I$5:$I$234)</x:f>
        <x:v>16800000</x:v>
      </x:c>
      <x:c r="Y9" s="33" t="str">
        <x:f>IF(X9=P9,"일치","불일치")</x:f>
        <x:v>일치</x:v>
      </x:c>
      <x:c r="Z9" s="34" t="str">
        <x:v>[검증]</x:v>
      </x:c>
    </x:row>
    <x:row r="10" ht="42" customHeight="1">
      <x:c r="A10" s="32" t="str">
        <x:v>QUOTE-005</x:v>
      </x:c>
      <x:c r="B10" s="33" t="str">
        <x:v>견적서_5.pdf</x:v>
      </x:c>
      <x:c r="C10" s="33" t="str">
        <x:v>PDF</x:v>
      </x:c>
      <x:c r="D10" s="33" t="n">
        <x:v>1</x:v>
      </x:c>
      <x:c r="E10" s="33" t="str">
        <x:v>견적서</x:v>
      </x:c>
      <x:c r="F10" s="33" t="str">
        <x:v>견적서</x:v>
      </x:c>
      <x:c r="G10" s="33" t="str">
        <x:v>다온종합병원</x:v>
      </x:c>
      <x:c r="H10" s="33"/>
      <x:c r="I10" s="33"/>
      <x:c r="J10" s="42" t="n">
        <x:v>46269</x:v>
      </x:c>
      <x:c r="K10" s="33" t="str">
        <x:v>견적일로부터 30일</x:v>
      </x:c>
      <x:c r="L10" s="33" t="str">
        <x:v>SL-260904-005</x:v>
      </x:c>
      <x:c r="M10" s="33" t="str">
        <x:v>KRW</x:v>
      </x:c>
      <x:c r="N10" s="45"/>
      <x:c r="O10" s="45"/>
      <x:c r="P10" s="39" t="n">
        <x:v>11480000</x:v>
      </x:c>
      <x:c r="Q10" s="48"/>
      <x:c r="R10" s="48"/>
      <x:c r="S10" s="48"/>
      <x:c r="T10" s="33" t="n">
        <x:f>COUNTIF('품목 정답'!$A$5:$A$234,A10)</x:f>
        <x:v>3</x:v>
      </x:c>
      <x:c r="U10" s="33" t="str">
        <x:v>다온종합병원 대상 레이저장비 견적. 견적일 2026-09-04, 총액 11,480,000원(VAT 포함), 품목 3행.</x:v>
      </x:c>
      <x:c r="V10" s="33" t="str">
        <x:v>견적서, 다온종합병원, SL-260904-005, 레이저장비, LP100, LP2000, LR1000</x:v>
      </x:c>
      <x:c r="W10" s="33" t="str">
        <x:v>p.1: 고객사명·견적일자·유효기간·견적번호·견적합계·품목표</x:v>
      </x:c>
      <x:c r="X10" s="39" t="n">
        <x:f>SUMIF('품목 정답'!$A$5:$A$234,A10,'품목 정답'!$I$5:$I$234)</x:f>
        <x:v>11480000</x:v>
      </x:c>
      <x:c r="Y10" s="33" t="str">
        <x:f>IF(X10=P10,"일치","불일치")</x:f>
        <x:v>일치</x:v>
      </x:c>
      <x:c r="Z10" s="34" t="str">
        <x:v>[검증]</x:v>
      </x:c>
    </x:row>
    <x:row r="11" ht="42" customHeight="1">
      <x:c r="A11" s="32" t="str">
        <x:v>QUOTE-006</x:v>
      </x:c>
      <x:c r="B11" s="33" t="str">
        <x:v>견적서_6.pdf</x:v>
      </x:c>
      <x:c r="C11" s="33" t="str">
        <x:v>PDF</x:v>
      </x:c>
      <x:c r="D11" s="33" t="n">
        <x:v>1</x:v>
      </x:c>
      <x:c r="E11" s="33" t="str">
        <x:v>견적서</x:v>
      </x:c>
      <x:c r="F11" s="33" t="str">
        <x:v>견적서</x:v>
      </x:c>
      <x:c r="G11" s="33" t="str">
        <x:v>가온메디컬센터</x:v>
      </x:c>
      <x:c r="H11" s="33"/>
      <x:c r="I11" s="33"/>
      <x:c r="J11" s="42" t="n">
        <x:v>46269</x:v>
      </x:c>
      <x:c r="K11" s="33" t="str">
        <x:v>견적일로부터 30일</x:v>
      </x:c>
      <x:c r="L11" s="33" t="str">
        <x:v>SL-260904-006</x:v>
      </x:c>
      <x:c r="M11" s="33" t="str">
        <x:v>KRW</x:v>
      </x:c>
      <x:c r="N11" s="45"/>
      <x:c r="O11" s="45"/>
      <x:c r="P11" s="39" t="n">
        <x:v>31300000</x:v>
      </x:c>
      <x:c r="Q11" s="48"/>
      <x:c r="R11" s="48"/>
      <x:c r="S11" s="48"/>
      <x:c r="T11" s="33" t="n">
        <x:f>COUNTIF('품목 정답'!$A$5:$A$234,A11)</x:f>
        <x:v>4</x:v>
      </x:c>
      <x:c r="U11" s="33" t="str">
        <x:v>가온메디컬센터 대상 레이저장비 견적. 견적일 2026-09-04, 총액 31,300,000원(VAT 포함), 품목 4행.</x:v>
      </x:c>
      <x:c r="V11" s="33" t="str">
        <x:v>견적서, 가온메디컬센터, SL-260904-006, 레이저장비, LR-CORE2, LR-CORE3, LP200, LR2000</x:v>
      </x:c>
      <x:c r="W11" s="33" t="str">
        <x:v>p.1: 고객사명·견적일자·유효기간·견적번호·견적합계·품목표</x:v>
      </x:c>
      <x:c r="X11" s="39" t="n">
        <x:f>SUMIF('품목 정답'!$A$5:$A$234,A11,'품목 정답'!$I$5:$I$234)</x:f>
        <x:v>31300000</x:v>
      </x:c>
      <x:c r="Y11" s="33" t="str">
        <x:f>IF(X11=P11,"일치","불일치")</x:f>
        <x:v>일치</x:v>
      </x:c>
      <x:c r="Z11" s="34" t="str">
        <x:v>[검증]</x:v>
      </x:c>
    </x:row>
    <x:row r="12" ht="42" customHeight="1">
      <x:c r="A12" s="32" t="str">
        <x:v>QUOTE-007</x:v>
      </x:c>
      <x:c r="B12" s="33" t="str">
        <x:v>견적서_7.pdf</x:v>
      </x:c>
      <x:c r="C12" s="33" t="str">
        <x:v>PDF</x:v>
      </x:c>
      <x:c r="D12" s="33" t="n">
        <x:v>1</x:v>
      </x:c>
      <x:c r="E12" s="33" t="str">
        <x:v>견적서</x:v>
      </x:c>
      <x:c r="F12" s="33" t="str">
        <x:v>견적서</x:v>
      </x:c>
      <x:c r="G12" s="33" t="str">
        <x:v>해든병원</x:v>
      </x:c>
      <x:c r="H12" s="33"/>
      <x:c r="I12" s="33"/>
      <x:c r="J12" s="42" t="n">
        <x:v>46269</x:v>
      </x:c>
      <x:c r="K12" s="33" t="str">
        <x:v>견적일로부터 30일</x:v>
      </x:c>
      <x:c r="L12" s="33" t="str">
        <x:v>SL-260904-007</x:v>
      </x:c>
      <x:c r="M12" s="33" t="str">
        <x:v>KRW</x:v>
      </x:c>
      <x:c r="N12" s="45"/>
      <x:c r="O12" s="45"/>
      <x:c r="P12" s="39" t="n">
        <x:v>51020000</x:v>
      </x:c>
      <x:c r="Q12" s="48"/>
      <x:c r="R12" s="48"/>
      <x:c r="S12" s="48"/>
      <x:c r="T12" s="33" t="n">
        <x:f>COUNTIF('품목 정답'!$A$5:$A$234,A12)</x:f>
        <x:v>6</x:v>
      </x:c>
      <x:c r="U12" s="33" t="str">
        <x:v>해든병원 대상 레이저장비 견적. 견적일 2026-09-04, 총액 51,020,000원(VAT 포함), 품목 6행.</x:v>
      </x:c>
      <x:c r="V12" s="33" t="str">
        <x:v>견적서, 해든병원, SL-260904-007, 레이저장비, LP200, LR-CORE2, LR-CORE1, LP1000, LP100, LR2000</x:v>
      </x:c>
      <x:c r="W12" s="33" t="str">
        <x:v>p.1: 고객사명·견적일자·유효기간·견적번호·견적합계·품목표</x:v>
      </x:c>
      <x:c r="X12" s="39" t="n">
        <x:f>SUMIF('품목 정답'!$A$5:$A$234,A12,'품목 정답'!$I$5:$I$234)</x:f>
        <x:v>51020000</x:v>
      </x:c>
      <x:c r="Y12" s="33" t="str">
        <x:f>IF(X12=P12,"일치","불일치")</x:f>
        <x:v>일치</x:v>
      </x:c>
      <x:c r="Z12" s="34" t="str">
        <x:v>[검증]</x:v>
      </x:c>
    </x:row>
    <x:row r="13" ht="42" customHeight="1">
      <x:c r="A13" s="32" t="str">
        <x:v>QUOTE-008</x:v>
      </x:c>
      <x:c r="B13" s="33" t="str">
        <x:v>견적서_8.pdf</x:v>
      </x:c>
      <x:c r="C13" s="33" t="str">
        <x:v>PDF</x:v>
      </x:c>
      <x:c r="D13" s="33" t="n">
        <x:v>1</x:v>
      </x:c>
      <x:c r="E13" s="33" t="str">
        <x:v>견적서</x:v>
      </x:c>
      <x:c r="F13" s="33" t="str">
        <x:v>견적서</x:v>
      </x:c>
      <x:c r="G13" s="33" t="str">
        <x:v>온누리의료원</x:v>
      </x:c>
      <x:c r="H13" s="33"/>
      <x:c r="I13" s="33"/>
      <x:c r="J13" s="42" t="n">
        <x:v>46269</x:v>
      </x:c>
      <x:c r="K13" s="33" t="str">
        <x:v>견적일로부터 30일</x:v>
      </x:c>
      <x:c r="L13" s="33" t="str">
        <x:v>SL-260904-008</x:v>
      </x:c>
      <x:c r="M13" s="33" t="str">
        <x:v>KRW</x:v>
      </x:c>
      <x:c r="N13" s="45"/>
      <x:c r="O13" s="45"/>
      <x:c r="P13" s="39" t="n">
        <x:v>7240000</x:v>
      </x:c>
      <x:c r="Q13" s="48"/>
      <x:c r="R13" s="48"/>
      <x:c r="S13" s="48"/>
      <x:c r="T13" s="33" t="n">
        <x:f>COUNTIF('품목 정답'!$A$5:$A$234,A13)</x:f>
        <x:v>3</x:v>
      </x:c>
      <x:c r="U13" s="33" t="str">
        <x:v>온누리의료원 대상 레이저장비 견적. 견적일 2026-09-04, 총액 7,240,000원(VAT 포함), 품목 3행.</x:v>
      </x:c>
      <x:c r="V13" s="33" t="str">
        <x:v>견적서, 온누리의료원, SL-260904-008, 레이저장비, LP100, LP1000, LR2000</x:v>
      </x:c>
      <x:c r="W13" s="33" t="str">
        <x:v>p.1: 고객사명·견적일자·유효기간·견적번호·견적합계·품목표</x:v>
      </x:c>
      <x:c r="X13" s="39" t="n">
        <x:f>SUMIF('품목 정답'!$A$5:$A$234,A13,'품목 정답'!$I$5:$I$234)</x:f>
        <x:v>7240000</x:v>
      </x:c>
      <x:c r="Y13" s="33" t="str">
        <x:f>IF(X13=P13,"일치","불일치")</x:f>
        <x:v>일치</x:v>
      </x:c>
      <x:c r="Z13" s="34" t="str">
        <x:v>[검증]</x:v>
      </x:c>
    </x:row>
    <x:row r="14" ht="42" customHeight="1">
      <x:c r="A14" s="32" t="str">
        <x:v>QUOTE-009</x:v>
      </x:c>
      <x:c r="B14" s="33" t="str">
        <x:v>견적서_9.pdf</x:v>
      </x:c>
      <x:c r="C14" s="33" t="str">
        <x:v>PDF</x:v>
      </x:c>
      <x:c r="D14" s="33" t="n">
        <x:v>1</x:v>
      </x:c>
      <x:c r="E14" s="33" t="str">
        <x:v>견적서</x:v>
      </x:c>
      <x:c r="F14" s="33" t="str">
        <x:v>견적서</x:v>
      </x:c>
      <x:c r="G14" s="33" t="str">
        <x:v>라온종합병원</x:v>
      </x:c>
      <x:c r="H14" s="33"/>
      <x:c r="I14" s="33"/>
      <x:c r="J14" s="42" t="n">
        <x:v>46269</x:v>
      </x:c>
      <x:c r="K14" s="33" t="str">
        <x:v>견적일로부터 30일</x:v>
      </x:c>
      <x:c r="L14" s="33" t="str">
        <x:v>SL-260904-009</x:v>
      </x:c>
      <x:c r="M14" s="33" t="str">
        <x:v>KRW</x:v>
      </x:c>
      <x:c r="N14" s="45"/>
      <x:c r="O14" s="45"/>
      <x:c r="P14" s="39" t="n">
        <x:v>15080000</x:v>
      </x:c>
      <x:c r="Q14" s="48"/>
      <x:c r="R14" s="48"/>
      <x:c r="S14" s="48"/>
      <x:c r="T14" s="33" t="n">
        <x:f>COUNTIF('품목 정답'!$A$5:$A$234,A14)</x:f>
        <x:v>3</x:v>
      </x:c>
      <x:c r="U14" s="33" t="str">
        <x:v>라온종합병원 대상 레이저장비 견적. 견적일 2026-09-04, 총액 15,080,000원(VAT 포함), 품목 3행.</x:v>
      </x:c>
      <x:c r="V14" s="33" t="str">
        <x:v>견적서, 라온종합병원, SL-260904-009, 레이저장비, LR-PRO, LP1000, LP100</x:v>
      </x:c>
      <x:c r="W14" s="33" t="str">
        <x:v>p.1: 고객사명·견적일자·유효기간·견적번호·견적합계·품목표</x:v>
      </x:c>
      <x:c r="X14" s="39" t="n">
        <x:f>SUMIF('품목 정답'!$A$5:$A$234,A14,'품목 정답'!$I$5:$I$234)</x:f>
        <x:v>15080000</x:v>
      </x:c>
      <x:c r="Y14" s="33" t="str">
        <x:f>IF(X14=P14,"일치","불일치")</x:f>
        <x:v>일치</x:v>
      </x:c>
      <x:c r="Z14" s="34" t="str">
        <x:v>[검증]</x:v>
      </x:c>
    </x:row>
    <x:row r="15" ht="42" customHeight="1">
      <x:c r="A15" s="32" t="str">
        <x:v>QUOTE-010</x:v>
      </x:c>
      <x:c r="B15" s="33" t="str">
        <x:v>견적서_10.pdf</x:v>
      </x:c>
      <x:c r="C15" s="33" t="str">
        <x:v>PDF</x:v>
      </x:c>
      <x:c r="D15" s="33" t="n">
        <x:v>1</x:v>
      </x:c>
      <x:c r="E15" s="33" t="str">
        <x:v>견적서</x:v>
      </x:c>
      <x:c r="F15" s="33" t="str">
        <x:v>견적서</x:v>
      </x:c>
      <x:c r="G15" s="33" t="str">
        <x:v>청아병원</x:v>
      </x:c>
      <x:c r="H15" s="33"/>
      <x:c r="I15" s="33"/>
      <x:c r="J15" s="42" t="n">
        <x:v>46269</x:v>
      </x:c>
      <x:c r="K15" s="33" t="str">
        <x:v>견적일로부터 30일</x:v>
      </x:c>
      <x:c r="L15" s="33" t="str">
        <x:v>SL-260904-010</x:v>
      </x:c>
      <x:c r="M15" s="33" t="str">
        <x:v>KRW</x:v>
      </x:c>
      <x:c r="N15" s="45"/>
      <x:c r="O15" s="45"/>
      <x:c r="P15" s="39" t="n">
        <x:v>37115000</x:v>
      </x:c>
      <x:c r="Q15" s="48"/>
      <x:c r="R15" s="48"/>
      <x:c r="S15" s="48"/>
      <x:c r="T15" s="33" t="n">
        <x:f>COUNTIF('품목 정답'!$A$5:$A$234,A15)</x:f>
        <x:v>6</x:v>
      </x:c>
      <x:c r="U15" s="33" t="str">
        <x:v>청아병원 대상 레이저장비 견적. 견적일 2026-09-04, 총액 37,115,000원(VAT 포함), 품목 6행.</x:v>
      </x:c>
      <x:c r="V15" s="33" t="str">
        <x:v>견적서, 청아병원, SL-260904-010, 레이저장비, LR1000, LR-CORE3, LR-CORE1, LP1500, LR-CORE2, LP2000</x:v>
      </x:c>
      <x:c r="W15" s="33" t="str">
        <x:v>p.1: 고객사명·견적일자·유효기간·견적번호·견적합계·품목표</x:v>
      </x:c>
      <x:c r="X15" s="39" t="n">
        <x:f>SUMIF('품목 정답'!$A$5:$A$234,A15,'품목 정답'!$I$5:$I$234)</x:f>
        <x:v>37115000</x:v>
      </x:c>
      <x:c r="Y15" s="33" t="str">
        <x:f>IF(X15=P15,"일치","불일치")</x:f>
        <x:v>일치</x:v>
      </x:c>
      <x:c r="Z15" s="34" t="str">
        <x:v>[검증]</x:v>
      </x:c>
    </x:row>
    <x:row r="16" ht="42" customHeight="1">
      <x:c r="A16" s="32" t="str">
        <x:v>QUOTE-011</x:v>
      </x:c>
      <x:c r="B16" s="33" t="str">
        <x:v>견적서_11.pdf</x:v>
      </x:c>
      <x:c r="C16" s="33" t="str">
        <x:v>PDF</x:v>
      </x:c>
      <x:c r="D16" s="33" t="n">
        <x:v>1</x:v>
      </x:c>
      <x:c r="E16" s="33" t="str">
        <x:v>견적서</x:v>
      </x:c>
      <x:c r="F16" s="33" t="str">
        <x:v>견적서</x:v>
      </x:c>
      <x:c r="G16" s="33" t="str">
        <x:v>나래의료원</x:v>
      </x:c>
      <x:c r="H16" s="33"/>
      <x:c r="I16" s="33"/>
      <x:c r="J16" s="42" t="n">
        <x:v>46269</x:v>
      </x:c>
      <x:c r="K16" s="33" t="str">
        <x:v>견적일로부터 30일</x:v>
      </x:c>
      <x:c r="L16" s="33" t="str">
        <x:v>SL-260904-011</x:v>
      </x:c>
      <x:c r="M16" s="33" t="str">
        <x:v>KRW</x:v>
      </x:c>
      <x:c r="N16" s="45"/>
      <x:c r="O16" s="45"/>
      <x:c r="P16" s="39" t="n">
        <x:v>11550000</x:v>
      </x:c>
      <x:c r="Q16" s="48"/>
      <x:c r="R16" s="48"/>
      <x:c r="S16" s="48"/>
      <x:c r="T16" s="33" t="n">
        <x:f>COUNTIF('품목 정답'!$A$5:$A$234,A16)</x:f>
        <x:v>4</x:v>
      </x:c>
      <x:c r="U16" s="33" t="str">
        <x:v>나래의료원 대상 레이저장비 견적. 견적일 2026-09-04, 총액 11,550,000원(VAT 포함), 품목 4행.</x:v>
      </x:c>
      <x:c r="V16" s="33" t="str">
        <x:v>견적서, 나래의료원, SL-260904-011, 레이저장비, LP1000, LR2000, LP1500, LP200</x:v>
      </x:c>
      <x:c r="W16" s="33" t="str">
        <x:v>p.1: 고객사명·견적일자·유효기간·견적번호·견적합계·품목표</x:v>
      </x:c>
      <x:c r="X16" s="39" t="n">
        <x:f>SUMIF('품목 정답'!$A$5:$A$234,A16,'품목 정답'!$I$5:$I$234)</x:f>
        <x:v>11550000</x:v>
      </x:c>
      <x:c r="Y16" s="33" t="str">
        <x:f>IF(X16=P16,"일치","불일치")</x:f>
        <x:v>일치</x:v>
      </x:c>
      <x:c r="Z16" s="34" t="str">
        <x:v>[검증]</x:v>
      </x:c>
    </x:row>
    <x:row r="17" ht="42" customHeight="1">
      <x:c r="A17" s="32" t="str">
        <x:v>QUOTE-012</x:v>
      </x:c>
      <x:c r="B17" s="33" t="str">
        <x:v>견적서_12.pdf</x:v>
      </x:c>
      <x:c r="C17" s="33" t="str">
        <x:v>PDF</x:v>
      </x:c>
      <x:c r="D17" s="33" t="n">
        <x:v>1</x:v>
      </x:c>
      <x:c r="E17" s="33" t="str">
        <x:v>견적서</x:v>
      </x:c>
      <x:c r="F17" s="33" t="str">
        <x:v>견적서</x:v>
      </x:c>
      <x:c r="G17" s="33" t="str">
        <x:v>아람병원</x:v>
      </x:c>
      <x:c r="H17" s="33"/>
      <x:c r="I17" s="33"/>
      <x:c r="J17" s="42" t="n">
        <x:v>46269</x:v>
      </x:c>
      <x:c r="K17" s="33" t="str">
        <x:v>견적일로부터 30일</x:v>
      </x:c>
      <x:c r="L17" s="33" t="str">
        <x:v>SL-260904-012</x:v>
      </x:c>
      <x:c r="M17" s="33" t="str">
        <x:v>KRW</x:v>
      </x:c>
      <x:c r="N17" s="45"/>
      <x:c r="O17" s="45"/>
      <x:c r="P17" s="39" t="n">
        <x:v>11325000</x:v>
      </x:c>
      <x:c r="Q17" s="48"/>
      <x:c r="R17" s="48"/>
      <x:c r="S17" s="48"/>
      <x:c r="T17" s="33" t="n">
        <x:f>COUNTIF('품목 정답'!$A$5:$A$234,A17)</x:f>
        <x:v>5</x:v>
      </x:c>
      <x:c r="U17" s="33" t="str">
        <x:v>아람병원 대상 레이저장비 견적. 견적일 2026-09-04, 총액 11,325,000원(VAT 포함), 품목 5행.</x:v>
      </x:c>
      <x:c r="V17" s="33" t="str">
        <x:v>견적서, 아람병원, SL-260904-012, 레이저장비, LP1000, LR-PRO, LP2000, LP1500, LP200</x:v>
      </x:c>
      <x:c r="W17" s="33" t="str">
        <x:v>p.1: 고객사명·견적일자·유효기간·견적번호·견적합계·품목표</x:v>
      </x:c>
      <x:c r="X17" s="39" t="n">
        <x:f>SUMIF('품목 정답'!$A$5:$A$234,A17,'품목 정답'!$I$5:$I$234)</x:f>
        <x:v>11325000</x:v>
      </x:c>
      <x:c r="Y17" s="33" t="str">
        <x:f>IF(X17=P17,"일치","불일치")</x:f>
        <x:v>일치</x:v>
      </x:c>
      <x:c r="Z17" s="34" t="str">
        <x:v>[검증]</x:v>
      </x:c>
    </x:row>
    <x:row r="18" ht="42" customHeight="1">
      <x:c r="A18" s="32" t="str">
        <x:v>QUOTE-013</x:v>
      </x:c>
      <x:c r="B18" s="33" t="str">
        <x:v>견적서_13.pdf</x:v>
      </x:c>
      <x:c r="C18" s="33" t="str">
        <x:v>PDF</x:v>
      </x:c>
      <x:c r="D18" s="33" t="n">
        <x:v>1</x:v>
      </x:c>
      <x:c r="E18" s="33" t="str">
        <x:v>견적서</x:v>
      </x:c>
      <x:c r="F18" s="33" t="str">
        <x:v>견적서</x:v>
      </x:c>
      <x:c r="G18" s="33" t="str">
        <x:v>솔빛종합병원</x:v>
      </x:c>
      <x:c r="H18" s="33"/>
      <x:c r="I18" s="33"/>
      <x:c r="J18" s="42" t="n">
        <x:v>46269</x:v>
      </x:c>
      <x:c r="K18" s="33" t="str">
        <x:v>견적일로부터 30일</x:v>
      </x:c>
      <x:c r="L18" s="33" t="str">
        <x:v>SL-260904-013</x:v>
      </x:c>
      <x:c r="M18" s="33" t="str">
        <x:v>KRW</x:v>
      </x:c>
      <x:c r="N18" s="45"/>
      <x:c r="O18" s="45"/>
      <x:c r="P18" s="39" t="n">
        <x:v>21480000</x:v>
      </x:c>
      <x:c r="Q18" s="48"/>
      <x:c r="R18" s="48"/>
      <x:c r="S18" s="48"/>
      <x:c r="T18" s="33" t="n">
        <x:f>COUNTIF('품목 정답'!$A$5:$A$234,A18)</x:f>
        <x:v>4</x:v>
      </x:c>
      <x:c r="U18" s="33" t="str">
        <x:v>솔빛종합병원 대상 레이저장비 견적. 견적일 2026-09-04, 총액 21,480,000원(VAT 포함), 품목 4행.</x:v>
      </x:c>
      <x:c r="V18" s="33" t="str">
        <x:v>견적서, 솔빛종합병원, SL-260904-013, 레이저장비, LP200, LR-CORE1, LR-CORE3, LR-PRO</x:v>
      </x:c>
      <x:c r="W18" s="33" t="str">
        <x:v>p.1: 고객사명·견적일자·유효기간·견적번호·견적합계·품목표</x:v>
      </x:c>
      <x:c r="X18" s="39" t="n">
        <x:f>SUMIF('품목 정답'!$A$5:$A$234,A18,'품목 정답'!$I$5:$I$234)</x:f>
        <x:v>21480000</x:v>
      </x:c>
      <x:c r="Y18" s="33" t="str">
        <x:f>IF(X18=P18,"일치","불일치")</x:f>
        <x:v>일치</x:v>
      </x:c>
      <x:c r="Z18" s="34" t="str">
        <x:v>[검증]</x:v>
      </x:c>
    </x:row>
    <x:row r="19" ht="42" customHeight="1">
      <x:c r="A19" s="32" t="str">
        <x:v>QUOTE-014</x:v>
      </x:c>
      <x:c r="B19" s="33" t="str">
        <x:v>견적서_14.pdf</x:v>
      </x:c>
      <x:c r="C19" s="33" t="str">
        <x:v>PDF</x:v>
      </x:c>
      <x:c r="D19" s="33" t="n">
        <x:v>1</x:v>
      </x:c>
      <x:c r="E19" s="33" t="str">
        <x:v>견적서</x:v>
      </x:c>
      <x:c r="F19" s="33" t="str">
        <x:v>견적서</x:v>
      </x:c>
      <x:c r="G19" s="33" t="str">
        <x:v>더봄병원</x:v>
      </x:c>
      <x:c r="H19" s="33"/>
      <x:c r="I19" s="33"/>
      <x:c r="J19" s="42" t="n">
        <x:v>46269</x:v>
      </x:c>
      <x:c r="K19" s="33" t="str">
        <x:v>견적일로부터 30일</x:v>
      </x:c>
      <x:c r="L19" s="33" t="str">
        <x:v>SL-260904-014</x:v>
      </x:c>
      <x:c r="M19" s="33" t="str">
        <x:v>KRW</x:v>
      </x:c>
      <x:c r="N19" s="45"/>
      <x:c r="O19" s="45"/>
      <x:c r="P19" s="39" t="n">
        <x:v>46905000</x:v>
      </x:c>
      <x:c r="Q19" s="48"/>
      <x:c r="R19" s="48"/>
      <x:c r="S19" s="48"/>
      <x:c r="T19" s="33" t="n">
        <x:f>COUNTIF('품목 정답'!$A$5:$A$234,A19)</x:f>
        <x:v>6</x:v>
      </x:c>
      <x:c r="U19" s="33" t="str">
        <x:v>더봄병원 대상 레이저장비 견적. 견적일 2026-09-04, 총액 46,905,000원(VAT 포함), 품목 6행.</x:v>
      </x:c>
      <x:c r="V19" s="33" t="str">
        <x:v>견적서, 더봄병원, SL-260904-014, 레이저장비, LP1000, LP1500, LR-CORE2, LP200, LR1000, LR-CORE1</x:v>
      </x:c>
      <x:c r="W19" s="33" t="str">
        <x:v>p.1: 고객사명·견적일자·유효기간·견적번호·견적합계·품목표</x:v>
      </x:c>
      <x:c r="X19" s="39" t="n">
        <x:f>SUMIF('품목 정답'!$A$5:$A$234,A19,'품목 정답'!$I$5:$I$234)</x:f>
        <x:v>46905000</x:v>
      </x:c>
      <x:c r="Y19" s="33" t="str">
        <x:f>IF(X19=P19,"일치","불일치")</x:f>
        <x:v>일치</x:v>
      </x:c>
      <x:c r="Z19" s="34" t="str">
        <x:v>[검증]</x:v>
      </x:c>
    </x:row>
    <x:row r="20" ht="42" customHeight="1">
      <x:c r="A20" s="32" t="str">
        <x:v>QUOTE-015</x:v>
      </x:c>
      <x:c r="B20" s="33" t="str">
        <x:v>견적서_15.pdf</x:v>
      </x:c>
      <x:c r="C20" s="33" t="str">
        <x:v>PDF</x:v>
      </x:c>
      <x:c r="D20" s="33" t="n">
        <x:v>1</x:v>
      </x:c>
      <x:c r="E20" s="33" t="str">
        <x:v>견적서</x:v>
      </x:c>
      <x:c r="F20" s="33" t="str">
        <x:v>견적서</x:v>
      </x:c>
      <x:c r="G20" s="33" t="str">
        <x:v>이음의료원</x:v>
      </x:c>
      <x:c r="H20" s="33"/>
      <x:c r="I20" s="33"/>
      <x:c r="J20" s="42" t="n">
        <x:v>46269</x:v>
      </x:c>
      <x:c r="K20" s="33" t="str">
        <x:v>견적일로부터 30일</x:v>
      </x:c>
      <x:c r="L20" s="33" t="str">
        <x:v>SL-260904-015</x:v>
      </x:c>
      <x:c r="M20" s="33" t="str">
        <x:v>KRW</x:v>
      </x:c>
      <x:c r="N20" s="45"/>
      <x:c r="O20" s="45"/>
      <x:c r="P20" s="39" t="n">
        <x:v>22525000</x:v>
      </x:c>
      <x:c r="Q20" s="48"/>
      <x:c r="R20" s="48"/>
      <x:c r="S20" s="48"/>
      <x:c r="T20" s="33" t="n">
        <x:f>COUNTIF('품목 정답'!$A$5:$A$234,A20)</x:f>
        <x:v>4</x:v>
      </x:c>
      <x:c r="U20" s="33" t="str">
        <x:v>이음의료원 대상 레이저장비 견적. 견적일 2026-09-04, 총액 22,525,000원(VAT 포함), 품목 4행.</x:v>
      </x:c>
      <x:c r="V20" s="33" t="str">
        <x:v>견적서, 이음의료원, SL-260904-015, 레이저장비, LP1000, LP2000, LR2000, LP200</x:v>
      </x:c>
      <x:c r="W20" s="33" t="str">
        <x:v>p.1: 고객사명·견적일자·유효기간·견적번호·견적합계·품목표</x:v>
      </x:c>
      <x:c r="X20" s="39" t="n">
        <x:f>SUMIF('품목 정답'!$A$5:$A$234,A20,'품목 정답'!$I$5:$I$234)</x:f>
        <x:v>22525000</x:v>
      </x:c>
      <x:c r="Y20" s="33" t="str">
        <x:f>IF(X20=P20,"일치","불일치")</x:f>
        <x:v>일치</x:v>
      </x:c>
      <x:c r="Z20" s="34" t="str">
        <x:v>[검증]</x:v>
      </x:c>
    </x:row>
    <x:row r="21" ht="42" customHeight="1">
      <x:c r="A21" s="32" t="str">
        <x:v>QUOTE-016</x:v>
      </x:c>
      <x:c r="B21" s="33" t="str">
        <x:v>견적서_16.pdf</x:v>
      </x:c>
      <x:c r="C21" s="33" t="str">
        <x:v>PDF</x:v>
      </x:c>
      <x:c r="D21" s="33" t="n">
        <x:v>1</x:v>
      </x:c>
      <x:c r="E21" s="33" t="str">
        <x:v>견적서</x:v>
      </x:c>
      <x:c r="F21" s="33" t="str">
        <x:v>견적서</x:v>
      </x:c>
      <x:c r="G21" s="33" t="str">
        <x:v>푸른샘병원</x:v>
      </x:c>
      <x:c r="H21" s="33"/>
      <x:c r="I21" s="33"/>
      <x:c r="J21" s="42" t="n">
        <x:v>46269</x:v>
      </x:c>
      <x:c r="K21" s="33" t="str">
        <x:v>견적일로부터 30일</x:v>
      </x:c>
      <x:c r="L21" s="33" t="str">
        <x:v>SL-260904-016</x:v>
      </x:c>
      <x:c r="M21" s="33" t="str">
        <x:v>KRW</x:v>
      </x:c>
      <x:c r="N21" s="45"/>
      <x:c r="O21" s="45"/>
      <x:c r="P21" s="39" t="n">
        <x:v>31340000</x:v>
      </x:c>
      <x:c r="Q21" s="48"/>
      <x:c r="R21" s="48"/>
      <x:c r="S21" s="48"/>
      <x:c r="T21" s="33" t="n">
        <x:f>COUNTIF('품목 정답'!$A$5:$A$234,A21)</x:f>
        <x:v>3</x:v>
      </x:c>
      <x:c r="U21" s="33" t="str">
        <x:v>푸른샘병원 대상 레이저장비 견적. 견적일 2026-09-04, 총액 31,340,000원(VAT 포함), 품목 3행.</x:v>
      </x:c>
      <x:c r="V21" s="33" t="str">
        <x:v>견적서, 푸른샘병원, SL-260904-016, 레이저장비, LP1500, LR-CORE2, LR2000</x:v>
      </x:c>
      <x:c r="W21" s="33" t="str">
        <x:v>p.1: 고객사명·견적일자·유효기간·견적번호·견적합계·품목표</x:v>
      </x:c>
      <x:c r="X21" s="39" t="n">
        <x:f>SUMIF('품목 정답'!$A$5:$A$234,A21,'품목 정답'!$I$5:$I$234)</x:f>
        <x:v>31340000</x:v>
      </x:c>
      <x:c r="Y21" s="33" t="str">
        <x:f>IF(X21=P21,"일치","불일치")</x:f>
        <x:v>일치</x:v>
      </x:c>
      <x:c r="Z21" s="34" t="str">
        <x:v>[검증]</x:v>
      </x:c>
    </x:row>
    <x:row r="22" ht="42" customHeight="1">
      <x:c r="A22" s="32" t="str">
        <x:v>QUOTE-017</x:v>
      </x:c>
      <x:c r="B22" s="33" t="str">
        <x:v>견적서_17.pdf</x:v>
      </x:c>
      <x:c r="C22" s="33" t="str">
        <x:v>PDF</x:v>
      </x:c>
      <x:c r="D22" s="33" t="n">
        <x:v>1</x:v>
      </x:c>
      <x:c r="E22" s="33" t="str">
        <x:v>견적서</x:v>
      </x:c>
      <x:c r="F22" s="33" t="str">
        <x:v>견적서</x:v>
      </x:c>
      <x:c r="G22" s="33" t="str">
        <x:v>온빛메디컬센터</x:v>
      </x:c>
      <x:c r="H22" s="33"/>
      <x:c r="I22" s="33"/>
      <x:c r="J22" s="42" t="n">
        <x:v>46269</x:v>
      </x:c>
      <x:c r="K22" s="33" t="str">
        <x:v>견적일로부터 30일</x:v>
      </x:c>
      <x:c r="L22" s="33" t="str">
        <x:v>SL-260904-017</x:v>
      </x:c>
      <x:c r="M22" s="33" t="str">
        <x:v>KRW</x:v>
      </x:c>
      <x:c r="N22" s="45"/>
      <x:c r="O22" s="45"/>
      <x:c r="P22" s="39" t="n">
        <x:v>17850000</x:v>
      </x:c>
      <x:c r="Q22" s="48"/>
      <x:c r="R22" s="48"/>
      <x:c r="S22" s="48"/>
      <x:c r="T22" s="33" t="n">
        <x:f>COUNTIF('품목 정답'!$A$5:$A$234,A22)</x:f>
        <x:v>4</x:v>
      </x:c>
      <x:c r="U22" s="33" t="str">
        <x:v>온빛메디컬센터 대상 레이저장비 견적. 견적일 2026-09-04, 총액 17,850,000원(VAT 포함), 품목 4행.</x:v>
      </x:c>
      <x:c r="V22" s="33" t="str">
        <x:v>견적서, 온빛메디컬센터, SL-260904-017, 레이저장비, LP2000, LR1000, LP1500, LP100</x:v>
      </x:c>
      <x:c r="W22" s="33" t="str">
        <x:v>p.1: 고객사명·견적일자·유효기간·견적번호·견적합계·품목표</x:v>
      </x:c>
      <x:c r="X22" s="39" t="n">
        <x:f>SUMIF('품목 정답'!$A$5:$A$234,A22,'품목 정답'!$I$5:$I$234)</x:f>
        <x:v>17850000</x:v>
      </x:c>
      <x:c r="Y22" s="33" t="str">
        <x:f>IF(X22=P22,"일치","불일치")</x:f>
        <x:v>일치</x:v>
      </x:c>
      <x:c r="Z22" s="34" t="str">
        <x:v>[검증]</x:v>
      </x:c>
    </x:row>
    <x:row r="23" ht="42" customHeight="1">
      <x:c r="A23" s="32" t="str">
        <x:v>QUOTE-018</x:v>
      </x:c>
      <x:c r="B23" s="33" t="str">
        <x:v>견적서_18.pdf</x:v>
      </x:c>
      <x:c r="C23" s="33" t="str">
        <x:v>PDF</x:v>
      </x:c>
      <x:c r="D23" s="33" t="n">
        <x:v>1</x:v>
      </x:c>
      <x:c r="E23" s="33" t="str">
        <x:v>견적서</x:v>
      </x:c>
      <x:c r="F23" s="33" t="str">
        <x:v>견적서</x:v>
      </x:c>
      <x:c r="G23" s="33" t="str">
        <x:v>다솜종합병원</x:v>
      </x:c>
      <x:c r="H23" s="33"/>
      <x:c r="I23" s="33"/>
      <x:c r="J23" s="42" t="n">
        <x:v>46269</x:v>
      </x:c>
      <x:c r="K23" s="33" t="str">
        <x:v>견적일로부터 30일</x:v>
      </x:c>
      <x:c r="L23" s="33" t="str">
        <x:v>SL-260904-018</x:v>
      </x:c>
      <x:c r="M23" s="33" t="str">
        <x:v>KRW</x:v>
      </x:c>
      <x:c r="N23" s="45"/>
      <x:c r="O23" s="45"/>
      <x:c r="P23" s="39" t="n">
        <x:v>20140000</x:v>
      </x:c>
      <x:c r="Q23" s="48"/>
      <x:c r="R23" s="48"/>
      <x:c r="S23" s="48"/>
      <x:c r="T23" s="33" t="n">
        <x:f>COUNTIF('품목 정답'!$A$5:$A$234,A23)</x:f>
        <x:v>4</x:v>
      </x:c>
      <x:c r="U23" s="33" t="str">
        <x:v>다솜종합병원 대상 레이저장비 견적. 견적일 2026-09-04, 총액 20,140,000원(VAT 포함), 품목 4행.</x:v>
      </x:c>
      <x:c r="V23" s="33" t="str">
        <x:v>견적서, 다솜종합병원, SL-260904-018, 레이저장비, LR2000, LP200, LP1000, LR-CORE3</x:v>
      </x:c>
      <x:c r="W23" s="33" t="str">
        <x:v>p.1: 고객사명·견적일자·유효기간·견적번호·견적합계·품목표</x:v>
      </x:c>
      <x:c r="X23" s="39" t="n">
        <x:f>SUMIF('품목 정답'!$A$5:$A$234,A23,'품목 정답'!$I$5:$I$234)</x:f>
        <x:v>20140000</x:v>
      </x:c>
      <x:c r="Y23" s="33" t="str">
        <x:f>IF(X23=P23,"일치","불일치")</x:f>
        <x:v>일치</x:v>
      </x:c>
      <x:c r="Z23" s="34" t="str">
        <x:v>[검증]</x:v>
      </x:c>
    </x:row>
    <x:row r="24" ht="42" customHeight="1">
      <x:c r="A24" s="32" t="str">
        <x:v>QUOTE-019</x:v>
      </x:c>
      <x:c r="B24" s="33" t="str">
        <x:v>견적서_19.pdf</x:v>
      </x:c>
      <x:c r="C24" s="33" t="str">
        <x:v>PDF</x:v>
      </x:c>
      <x:c r="D24" s="33" t="n">
        <x:v>1</x:v>
      </x:c>
      <x:c r="E24" s="33" t="str">
        <x:v>견적서</x:v>
      </x:c>
      <x:c r="F24" s="33" t="str">
        <x:v>견적서</x:v>
      </x:c>
      <x:c r="G24" s="33" t="str">
        <x:v>가람병원</x:v>
      </x:c>
      <x:c r="H24" s="33"/>
      <x:c r="I24" s="33"/>
      <x:c r="J24" s="42" t="n">
        <x:v>46269</x:v>
      </x:c>
      <x:c r="K24" s="33" t="str">
        <x:v>견적일로부터 30일</x:v>
      </x:c>
      <x:c r="L24" s="33" t="str">
        <x:v>SL-260904-019</x:v>
      </x:c>
      <x:c r="M24" s="33" t="str">
        <x:v>KRW</x:v>
      </x:c>
      <x:c r="N24" s="45"/>
      <x:c r="O24" s="45"/>
      <x:c r="P24" s="39" t="n">
        <x:v>15640000</x:v>
      </x:c>
      <x:c r="Q24" s="48"/>
      <x:c r="R24" s="48"/>
      <x:c r="S24" s="48"/>
      <x:c r="T24" s="33" t="n">
        <x:f>COUNTIF('품목 정답'!$A$5:$A$234,A24)</x:f>
        <x:v>5</x:v>
      </x:c>
      <x:c r="U24" s="33" t="str">
        <x:v>가람병원 대상 레이저장비 견적. 견적일 2026-09-04, 총액 15,640,000원(VAT 포함), 품목 5행.</x:v>
      </x:c>
      <x:c r="V24" s="33" t="str">
        <x:v>견적서, 가람병원, SL-260904-019, 레이저장비, LP1500, LR-CORE1, LR2000, LP2000, LP1000</x:v>
      </x:c>
      <x:c r="W24" s="33" t="str">
        <x:v>p.1: 고객사명·견적일자·유효기간·견적번호·견적합계·품목표</x:v>
      </x:c>
      <x:c r="X24" s="39" t="n">
        <x:f>SUMIF('품목 정답'!$A$5:$A$234,A24,'품목 정답'!$I$5:$I$234)</x:f>
        <x:v>15640000</x:v>
      </x:c>
      <x:c r="Y24" s="33" t="str">
        <x:f>IF(X24=P24,"일치","불일치")</x:f>
        <x:v>일치</x:v>
      </x:c>
      <x:c r="Z24" s="34" t="str">
        <x:v>[검증]</x:v>
      </x:c>
    </x:row>
    <x:row r="25" ht="42" customHeight="1">
      <x:c r="A25" s="32" t="str">
        <x:v>QUOTE-020</x:v>
      </x:c>
      <x:c r="B25" s="33" t="str">
        <x:v>견적서_20.pdf</x:v>
      </x:c>
      <x:c r="C25" s="33" t="str">
        <x:v>PDF</x:v>
      </x:c>
      <x:c r="D25" s="33" t="n">
        <x:v>1</x:v>
      </x:c>
      <x:c r="E25" s="33" t="str">
        <x:v>견적서</x:v>
      </x:c>
      <x:c r="F25" s="33" t="str">
        <x:v>견적서</x:v>
      </x:c>
      <x:c r="G25" s="33" t="str">
        <x:v>별하의료원</x:v>
      </x:c>
      <x:c r="H25" s="33"/>
      <x:c r="I25" s="33"/>
      <x:c r="J25" s="42" t="n">
        <x:v>46269</x:v>
      </x:c>
      <x:c r="K25" s="33" t="str">
        <x:v>견적일로부터 30일</x:v>
      </x:c>
      <x:c r="L25" s="33" t="str">
        <x:v>SL-260904-020</x:v>
      </x:c>
      <x:c r="M25" s="33" t="str">
        <x:v>KRW</x:v>
      </x:c>
      <x:c r="N25" s="45"/>
      <x:c r="O25" s="45"/>
      <x:c r="P25" s="39" t="n">
        <x:v>16970000</x:v>
      </x:c>
      <x:c r="Q25" s="48"/>
      <x:c r="R25" s="48"/>
      <x:c r="S25" s="48"/>
      <x:c r="T25" s="33" t="n">
        <x:f>COUNTIF('품목 정답'!$A$5:$A$234,A25)</x:f>
        <x:v>6</x:v>
      </x:c>
      <x:c r="U25" s="33" t="str">
        <x:v>별하의료원 대상 레이저장비 견적. 견적일 2026-09-04, 총액 16,970,000원(VAT 포함), 품목 6행.</x:v>
      </x:c>
      <x:c r="V25" s="33" t="str">
        <x:v>견적서, 별하의료원, SL-260904-020, 레이저장비, LP1500, LR-CORE3, LP100, LP200, LR-PRO, LP2000</x:v>
      </x:c>
      <x:c r="W25" s="33" t="str">
        <x:v>p.1: 고객사명·견적일자·유효기간·견적번호·견적합계·품목표</x:v>
      </x:c>
      <x:c r="X25" s="39" t="n">
        <x:f>SUMIF('품목 정답'!$A$5:$A$234,A25,'품목 정답'!$I$5:$I$234)</x:f>
        <x:v>16970000</x:v>
      </x:c>
      <x:c r="Y25" s="33" t="str">
        <x:f>IF(X25=P25,"일치","불일치")</x:f>
        <x:v>일치</x:v>
      </x:c>
      <x:c r="Z25" s="34" t="str">
        <x:v>[검증]</x:v>
      </x:c>
    </x:row>
    <x:row r="26" ht="42" customHeight="1">
      <x:c r="A26" s="32" t="str">
        <x:v>QUOTE-021</x:v>
      </x:c>
      <x:c r="B26" s="33" t="str">
        <x:v>견적서_21.pdf</x:v>
      </x:c>
      <x:c r="C26" s="33" t="str">
        <x:v>PDF</x:v>
      </x:c>
      <x:c r="D26" s="33" t="n">
        <x:v>1</x:v>
      </x:c>
      <x:c r="E26" s="33" t="str">
        <x:v>견적서</x:v>
      </x:c>
      <x:c r="F26" s="33" t="str">
        <x:v>견적서</x:v>
      </x:c>
      <x:c r="G26" s="33" t="str">
        <x:v>누리봄병원</x:v>
      </x:c>
      <x:c r="H26" s="33"/>
      <x:c r="I26" s="33"/>
      <x:c r="J26" s="42" t="n">
        <x:v>46269</x:v>
      </x:c>
      <x:c r="K26" s="33" t="str">
        <x:v>견적일로부터 30일</x:v>
      </x:c>
      <x:c r="L26" s="33" t="str">
        <x:v>SL-260904-021</x:v>
      </x:c>
      <x:c r="M26" s="33" t="str">
        <x:v>KRW</x:v>
      </x:c>
      <x:c r="N26" s="45"/>
      <x:c r="O26" s="45"/>
      <x:c r="P26" s="39" t="n">
        <x:v>12650000</x:v>
      </x:c>
      <x:c r="Q26" s="48"/>
      <x:c r="R26" s="48"/>
      <x:c r="S26" s="48"/>
      <x:c r="T26" s="33" t="n">
        <x:f>COUNTIF('품목 정답'!$A$5:$A$234,A26)</x:f>
        <x:v>3</x:v>
      </x:c>
      <x:c r="U26" s="33" t="str">
        <x:v>누리봄병원 대상 레이저장비 견적. 견적일 2026-09-04, 총액 12,650,000원(VAT 포함), 품목 3행.</x:v>
      </x:c>
      <x:c r="V26" s="33" t="str">
        <x:v>견적서, 누리봄병원, SL-260904-021, 레이저장비, LP100, LP1500, LR1000</x:v>
      </x:c>
      <x:c r="W26" s="33" t="str">
        <x:v>p.1: 고객사명·견적일자·유효기간·견적번호·견적합계·품목표</x:v>
      </x:c>
      <x:c r="X26" s="39" t="n">
        <x:f>SUMIF('품목 정답'!$A$5:$A$234,A26,'품목 정답'!$I$5:$I$234)</x:f>
        <x:v>12650000</x:v>
      </x:c>
      <x:c r="Y26" s="33" t="str">
        <x:f>IF(X26=P26,"일치","불일치")</x:f>
        <x:v>일치</x:v>
      </x:c>
      <x:c r="Z26" s="34" t="str">
        <x:v>[검증]</x:v>
      </x:c>
    </x:row>
    <x:row r="27" ht="42" customHeight="1">
      <x:c r="A27" s="32" t="str">
        <x:v>QUOTE-022</x:v>
      </x:c>
      <x:c r="B27" s="33" t="str">
        <x:v>견적서_22.pdf</x:v>
      </x:c>
      <x:c r="C27" s="33" t="str">
        <x:v>PDF</x:v>
      </x:c>
      <x:c r="D27" s="33" t="n">
        <x:v>1</x:v>
      </x:c>
      <x:c r="E27" s="33" t="str">
        <x:v>견적서</x:v>
      </x:c>
      <x:c r="F27" s="33" t="str">
        <x:v>견적서</x:v>
      </x:c>
      <x:c r="G27" s="33" t="str">
        <x:v>해밀종합병원</x:v>
      </x:c>
      <x:c r="H27" s="33"/>
      <x:c r="I27" s="33"/>
      <x:c r="J27" s="42" t="n">
        <x:v>46269</x:v>
      </x:c>
      <x:c r="K27" s="33" t="str">
        <x:v>견적일로부터 30일</x:v>
      </x:c>
      <x:c r="L27" s="33" t="str">
        <x:v>SL-260904-022</x:v>
      </x:c>
      <x:c r="M27" s="33" t="str">
        <x:v>KRW</x:v>
      </x:c>
      <x:c r="N27" s="45"/>
      <x:c r="O27" s="45"/>
      <x:c r="P27" s="39" t="n">
        <x:v>15340000</x:v>
      </x:c>
      <x:c r="Q27" s="48"/>
      <x:c r="R27" s="48"/>
      <x:c r="S27" s="48"/>
      <x:c r="T27" s="33" t="n">
        <x:f>COUNTIF('품목 정답'!$A$5:$A$234,A27)</x:f>
        <x:v>4</x:v>
      </x:c>
      <x:c r="U27" s="33" t="str">
        <x:v>해밀종합병원 대상 레이저장비 견적. 견적일 2026-09-04, 총액 15,340,000원(VAT 포함), 품목 4행.</x:v>
      </x:c>
      <x:c r="V27" s="33" t="str">
        <x:v>견적서, 해밀종합병원, SL-260904-022, 레이저장비, LP100, LR-CORE3, LR-CORE1, LR2000</x:v>
      </x:c>
      <x:c r="W27" s="33" t="str">
        <x:v>p.1: 고객사명·견적일자·유효기간·견적번호·견적합계·품목표</x:v>
      </x:c>
      <x:c r="X27" s="39" t="n">
        <x:f>SUMIF('품목 정답'!$A$5:$A$234,A27,'품목 정답'!$I$5:$I$234)</x:f>
        <x:v>15340000</x:v>
      </x:c>
      <x:c r="Y27" s="33" t="str">
        <x:f>IF(X27=P27,"일치","불일치")</x:f>
        <x:v>일치</x:v>
      </x:c>
      <x:c r="Z27" s="34" t="str">
        <x:v>[검증]</x:v>
      </x:c>
    </x:row>
    <x:row r="28" ht="42" customHeight="1">
      <x:c r="A28" s="32" t="str">
        <x:v>QUOTE-023</x:v>
      </x:c>
      <x:c r="B28" s="33" t="str">
        <x:v>견적서_23.pdf</x:v>
      </x:c>
      <x:c r="C28" s="33" t="str">
        <x:v>PDF</x:v>
      </x:c>
      <x:c r="D28" s="33" t="n">
        <x:v>1</x:v>
      </x:c>
      <x:c r="E28" s="33" t="str">
        <x:v>견적서</x:v>
      </x:c>
      <x:c r="F28" s="33" t="str">
        <x:v>견적서</x:v>
      </x:c>
      <x:c r="G28" s="33" t="str">
        <x:v>새길의료원</x:v>
      </x:c>
      <x:c r="H28" s="33"/>
      <x:c r="I28" s="33"/>
      <x:c r="J28" s="42" t="n">
        <x:v>46269</x:v>
      </x:c>
      <x:c r="K28" s="33" t="str">
        <x:v>견적일로부터 30일</x:v>
      </x:c>
      <x:c r="L28" s="33" t="str">
        <x:v>SL-260904-023</x:v>
      </x:c>
      <x:c r="M28" s="33" t="str">
        <x:v>KRW</x:v>
      </x:c>
      <x:c r="N28" s="45"/>
      <x:c r="O28" s="45"/>
      <x:c r="P28" s="39" t="n">
        <x:v>54300000</x:v>
      </x:c>
      <x:c r="Q28" s="48"/>
      <x:c r="R28" s="48"/>
      <x:c r="S28" s="48"/>
      <x:c r="T28" s="33" t="n">
        <x:f>COUNTIF('품목 정답'!$A$5:$A$234,A28)</x:f>
        <x:v>6</x:v>
      </x:c>
      <x:c r="U28" s="33" t="str">
        <x:v>새길의료원 대상 레이저장비 견적. 견적일 2026-09-04, 총액 54,300,000원(VAT 포함), 품목 6행.</x:v>
      </x:c>
      <x:c r="V28" s="33" t="str">
        <x:v>견적서, 새길의료원, SL-260904-023, 레이저장비, LP1500, LP200, LR-CORE1, LR-CORE2, LR1000, LP2000</x:v>
      </x:c>
      <x:c r="W28" s="33" t="str">
        <x:v>p.1: 고객사명·견적일자·유효기간·견적번호·견적합계·품목표</x:v>
      </x:c>
      <x:c r="X28" s="39" t="n">
        <x:f>SUMIF('품목 정답'!$A$5:$A$234,A28,'품목 정답'!$I$5:$I$234)</x:f>
        <x:v>54300000</x:v>
      </x:c>
      <x:c r="Y28" s="33" t="str">
        <x:f>IF(X28=P28,"일치","불일치")</x:f>
        <x:v>일치</x:v>
      </x:c>
      <x:c r="Z28" s="34" t="str">
        <x:v>[검증]</x:v>
      </x:c>
    </x:row>
    <x:row r="29" ht="42" customHeight="1">
      <x:c r="A29" s="32" t="str">
        <x:v>QUOTE-024</x:v>
      </x:c>
      <x:c r="B29" s="33" t="str">
        <x:v>견적서_24.pdf</x:v>
      </x:c>
      <x:c r="C29" s="33" t="str">
        <x:v>PDF</x:v>
      </x:c>
      <x:c r="D29" s="33" t="n">
        <x:v>1</x:v>
      </x:c>
      <x:c r="E29" s="33" t="str">
        <x:v>견적서</x:v>
      </x:c>
      <x:c r="F29" s="33" t="str">
        <x:v>견적서</x:v>
      </x:c>
      <x:c r="G29" s="33" t="str">
        <x:v>온담병원</x:v>
      </x:c>
      <x:c r="H29" s="33"/>
      <x:c r="I29" s="33"/>
      <x:c r="J29" s="42" t="n">
        <x:v>46269</x:v>
      </x:c>
      <x:c r="K29" s="33" t="str">
        <x:v>견적일로부터 30일</x:v>
      </x:c>
      <x:c r="L29" s="33" t="str">
        <x:v>SL-260904-024</x:v>
      </x:c>
      <x:c r="M29" s="33" t="str">
        <x:v>KRW</x:v>
      </x:c>
      <x:c r="N29" s="45"/>
      <x:c r="O29" s="45"/>
      <x:c r="P29" s="39" t="n">
        <x:v>33500000</x:v>
      </x:c>
      <x:c r="Q29" s="48"/>
      <x:c r="R29" s="48"/>
      <x:c r="S29" s="48"/>
      <x:c r="T29" s="33" t="n">
        <x:f>COUNTIF('품목 정답'!$A$5:$A$234,A29)</x:f>
        <x:v>3</x:v>
      </x:c>
      <x:c r="U29" s="33" t="str">
        <x:v>온담병원 대상 레이저장비 견적. 견적일 2026-09-04, 총액 33,500,000원(VAT 포함), 품목 3행.</x:v>
      </x:c>
      <x:c r="V29" s="33" t="str">
        <x:v>견적서, 온담병원, SL-260904-024, 레이저장비, LR-CORE1, LR1000, LP2000</x:v>
      </x:c>
      <x:c r="W29" s="33" t="str">
        <x:v>p.1: 고객사명·견적일자·유효기간·견적번호·견적합계·품목표</x:v>
      </x:c>
      <x:c r="X29" s="39" t="n">
        <x:f>SUMIF('품목 정답'!$A$5:$A$234,A29,'품목 정답'!$I$5:$I$234)</x:f>
        <x:v>33500000</x:v>
      </x:c>
      <x:c r="Y29" s="33" t="str">
        <x:f>IF(X29=P29,"일치","불일치")</x:f>
        <x:v>일치</x:v>
      </x:c>
      <x:c r="Z29" s="34" t="str">
        <x:v>[검증]</x:v>
      </x:c>
    </x:row>
    <x:row r="30" ht="42" customHeight="1">
      <x:c r="A30" s="32" t="str">
        <x:v>QUOTE-025</x:v>
      </x:c>
      <x:c r="B30" s="33" t="str">
        <x:v>견적서_25.pdf</x:v>
      </x:c>
      <x:c r="C30" s="33" t="str">
        <x:v>PDF</x:v>
      </x:c>
      <x:c r="D30" s="33" t="n">
        <x:v>1</x:v>
      </x:c>
      <x:c r="E30" s="33" t="str">
        <x:v>견적서</x:v>
      </x:c>
      <x:c r="F30" s="33" t="str">
        <x:v>견적서</x:v>
      </x:c>
      <x:c r="G30" s="33" t="str">
        <x:v>바른빛병원</x:v>
      </x:c>
      <x:c r="H30" s="33"/>
      <x:c r="I30" s="33"/>
      <x:c r="J30" s="42" t="n">
        <x:v>46269</x:v>
      </x:c>
      <x:c r="K30" s="33" t="str">
        <x:v>견적일로부터 30일</x:v>
      </x:c>
      <x:c r="L30" s="33" t="str">
        <x:v>SL-260904-025</x:v>
      </x:c>
      <x:c r="M30" s="33" t="str">
        <x:v>KRW</x:v>
      </x:c>
      <x:c r="N30" s="45"/>
      <x:c r="O30" s="45"/>
      <x:c r="P30" s="39" t="n">
        <x:v>33930000</x:v>
      </x:c>
      <x:c r="Q30" s="48"/>
      <x:c r="R30" s="48"/>
      <x:c r="S30" s="48"/>
      <x:c r="T30" s="33" t="n">
        <x:f>COUNTIF('품목 정답'!$A$5:$A$234,A30)</x:f>
        <x:v>6</x:v>
      </x:c>
      <x:c r="U30" s="33" t="str">
        <x:v>바른빛병원 대상 레이저장비 견적. 견적일 2026-09-04, 총액 33,930,000원(VAT 포함), 품목 6행.</x:v>
      </x:c>
      <x:c r="V30" s="33" t="str">
        <x:v>견적서, 바른빛병원, SL-260904-025, 레이저장비, LR-CORE3, LR-CORE1, LP1500, LP1000, LR-PRO, LP100</x:v>
      </x:c>
      <x:c r="W30" s="33" t="str">
        <x:v>p.1: 고객사명·견적일자·유효기간·견적번호·견적합계·품목표</x:v>
      </x:c>
      <x:c r="X30" s="39" t="n">
        <x:f>SUMIF('품목 정답'!$A$5:$A$234,A30,'품목 정답'!$I$5:$I$234)</x:f>
        <x:v>33930000</x:v>
      </x:c>
      <x:c r="Y30" s="33" t="str">
        <x:f>IF(X30=P30,"일치","불일치")</x:f>
        <x:v>일치</x:v>
      </x:c>
      <x:c r="Z30" s="34" t="str">
        <x:v>[검증]</x:v>
      </x:c>
    </x:row>
    <x:row r="31" ht="42" customHeight="1">
      <x:c r="A31" s="32" t="str">
        <x:v>QUOTE-026</x:v>
      </x:c>
      <x:c r="B31" s="33" t="str">
        <x:v>견적서_26.pdf</x:v>
      </x:c>
      <x:c r="C31" s="33" t="str">
        <x:v>PDF</x:v>
      </x:c>
      <x:c r="D31" s="33" t="n">
        <x:v>1</x:v>
      </x:c>
      <x:c r="E31" s="33" t="str">
        <x:v>견적서</x:v>
      </x:c>
      <x:c r="F31" s="33" t="str">
        <x:v>견적서</x:v>
      </x:c>
      <x:c r="G31" s="33" t="str">
        <x:v>늘봄메디컬센터</x:v>
      </x:c>
      <x:c r="H31" s="33"/>
      <x:c r="I31" s="33"/>
      <x:c r="J31" s="42" t="n">
        <x:v>46269</x:v>
      </x:c>
      <x:c r="K31" s="33" t="str">
        <x:v>견적일로부터 30일</x:v>
      </x:c>
      <x:c r="L31" s="33" t="str">
        <x:v>SL-260904-026</x:v>
      </x:c>
      <x:c r="M31" s="33" t="str">
        <x:v>KRW</x:v>
      </x:c>
      <x:c r="N31" s="45"/>
      <x:c r="O31" s="45"/>
      <x:c r="P31" s="39" t="n">
        <x:v>15960000</x:v>
      </x:c>
      <x:c r="Q31" s="48"/>
      <x:c r="R31" s="48"/>
      <x:c r="S31" s="48"/>
      <x:c r="T31" s="33" t="n">
        <x:f>COUNTIF('품목 정답'!$A$5:$A$234,A31)</x:f>
        <x:v>3</x:v>
      </x:c>
      <x:c r="U31" s="33" t="str">
        <x:v>늘봄메디컬센터 대상 레이저장비 견적. 견적일 2026-09-04, 총액 15,960,000원(VAT 포함), 품목 3행.</x:v>
      </x:c>
      <x:c r="V31" s="33" t="str">
        <x:v>견적서, 늘봄메디컬센터, SL-260904-026, 레이저장비, LP200, LR-CORE2, LR1000</x:v>
      </x:c>
      <x:c r="W31" s="33" t="str">
        <x:v>p.1: 고객사명·견적일자·유효기간·견적번호·견적합계·품목표</x:v>
      </x:c>
      <x:c r="X31" s="39" t="n">
        <x:f>SUMIF('품목 정답'!$A$5:$A$234,A31,'품목 정답'!$I$5:$I$234)</x:f>
        <x:v>15960000</x:v>
      </x:c>
      <x:c r="Y31" s="33" t="str">
        <x:f>IF(X31=P31,"일치","불일치")</x:f>
        <x:v>일치</x:v>
      </x:c>
      <x:c r="Z31" s="34" t="str">
        <x:v>[검증]</x:v>
      </x:c>
    </x:row>
    <x:row r="32" ht="42" customHeight="1">
      <x:c r="A32" s="32" t="str">
        <x:v>QUOTE-027</x:v>
      </x:c>
      <x:c r="B32" s="33" t="str">
        <x:v>견적서_27.pdf</x:v>
      </x:c>
      <x:c r="C32" s="33" t="str">
        <x:v>PDF</x:v>
      </x:c>
      <x:c r="D32" s="33" t="n">
        <x:v>1</x:v>
      </x:c>
      <x:c r="E32" s="33" t="str">
        <x:v>견적서</x:v>
      </x:c>
      <x:c r="F32" s="33" t="str">
        <x:v>견적서</x:v>
      </x:c>
      <x:c r="G32" s="33" t="str">
        <x:v>소담종합병원</x:v>
      </x:c>
      <x:c r="H32" s="33"/>
      <x:c r="I32" s="33"/>
      <x:c r="J32" s="42" t="n">
        <x:v>46269</x:v>
      </x:c>
      <x:c r="K32" s="33" t="str">
        <x:v>견적일로부터 30일</x:v>
      </x:c>
      <x:c r="L32" s="33" t="str">
        <x:v>SL-260904-027</x:v>
      </x:c>
      <x:c r="M32" s="33" t="str">
        <x:v>KRW</x:v>
      </x:c>
      <x:c r="N32" s="45"/>
      <x:c r="O32" s="45"/>
      <x:c r="P32" s="39" t="n">
        <x:v>24835000</x:v>
      </x:c>
      <x:c r="Q32" s="48"/>
      <x:c r="R32" s="48"/>
      <x:c r="S32" s="48"/>
      <x:c r="T32" s="33" t="n">
        <x:f>COUNTIF('품목 정답'!$A$5:$A$234,A32)</x:f>
        <x:v>6</x:v>
      </x:c>
      <x:c r="U32" s="33" t="str">
        <x:v>소담종합병원 대상 레이저장비 견적. 견적일 2026-09-04, 총액 24,835,000원(VAT 포함), 품목 6행.</x:v>
      </x:c>
      <x:c r="V32" s="33" t="str">
        <x:v>견적서, 소담종합병원, SL-260904-027, 레이저장비, LP2000, LP1000, LP1500, LR-CORE1, LR-PRO, LR-CORE3</x:v>
      </x:c>
      <x:c r="W32" s="33" t="str">
        <x:v>p.1: 고객사명·견적일자·유효기간·견적번호·견적합계·품목표</x:v>
      </x:c>
      <x:c r="X32" s="39" t="n">
        <x:f>SUMIF('품목 정답'!$A$5:$A$234,A32,'품목 정답'!$I$5:$I$234)</x:f>
        <x:v>24835000</x:v>
      </x:c>
      <x:c r="Y32" s="33" t="str">
        <x:f>IF(X32=P32,"일치","불일치")</x:f>
        <x:v>일치</x:v>
      </x:c>
      <x:c r="Z32" s="34" t="str">
        <x:v>[검증]</x:v>
      </x:c>
    </x:row>
    <x:row r="33" ht="42" customHeight="1">
      <x:c r="A33" s="32" t="str">
        <x:v>QUOTE-028</x:v>
      </x:c>
      <x:c r="B33" s="33" t="str">
        <x:v>견적서_28.pdf</x:v>
      </x:c>
      <x:c r="C33" s="33" t="str">
        <x:v>PDF</x:v>
      </x:c>
      <x:c r="D33" s="33" t="n">
        <x:v>1</x:v>
      </x:c>
      <x:c r="E33" s="33" t="str">
        <x:v>견적서</x:v>
      </x:c>
      <x:c r="F33" s="33" t="str">
        <x:v>견적서</x:v>
      </x:c>
      <x:c r="G33" s="33" t="str">
        <x:v>한결의료원</x:v>
      </x:c>
      <x:c r="H33" s="33"/>
      <x:c r="I33" s="33"/>
      <x:c r="J33" s="42" t="n">
        <x:v>46269</x:v>
      </x:c>
      <x:c r="K33" s="33" t="str">
        <x:v>견적일로부터 30일</x:v>
      </x:c>
      <x:c r="L33" s="33" t="str">
        <x:v>SL-260904-028</x:v>
      </x:c>
      <x:c r="M33" s="33" t="str">
        <x:v>KRW</x:v>
      </x:c>
      <x:c r="N33" s="45"/>
      <x:c r="O33" s="45"/>
      <x:c r="P33" s="39" t="n">
        <x:v>38785000</x:v>
      </x:c>
      <x:c r="Q33" s="48"/>
      <x:c r="R33" s="48"/>
      <x:c r="S33" s="48"/>
      <x:c r="T33" s="33" t="n">
        <x:f>COUNTIF('품목 정답'!$A$5:$A$234,A33)</x:f>
        <x:v>6</x:v>
      </x:c>
      <x:c r="U33" s="33" t="str">
        <x:v>한결의료원 대상 레이저장비 견적. 견적일 2026-09-04, 총액 38,785,000원(VAT 포함), 품목 6행.</x:v>
      </x:c>
      <x:c r="V33" s="33" t="str">
        <x:v>견적서, 한결의료원, SL-260904-028, 레이저장비, LR-CORE1, LP2000, LP1500, LR-PRO, LP100, LR-CORE3</x:v>
      </x:c>
      <x:c r="W33" s="33" t="str">
        <x:v>p.1: 고객사명·견적일자·유효기간·견적번호·견적합계·품목표</x:v>
      </x:c>
      <x:c r="X33" s="39" t="n">
        <x:f>SUMIF('품목 정답'!$A$5:$A$234,A33,'품목 정답'!$I$5:$I$234)</x:f>
        <x:v>38785000</x:v>
      </x:c>
      <x:c r="Y33" s="33" t="str">
        <x:f>IF(X33=P33,"일치","불일치")</x:f>
        <x:v>일치</x:v>
      </x:c>
      <x:c r="Z33" s="34" t="str">
        <x:v>[검증]</x:v>
      </x:c>
    </x:row>
    <x:row r="34" ht="42" customHeight="1">
      <x:c r="A34" s="32" t="str">
        <x:v>QUOTE-029</x:v>
      </x:c>
      <x:c r="B34" s="33" t="str">
        <x:v>견적서_29.pdf</x:v>
      </x:c>
      <x:c r="C34" s="33" t="str">
        <x:v>PDF</x:v>
      </x:c>
      <x:c r="D34" s="33" t="n">
        <x:v>1</x:v>
      </x:c>
      <x:c r="E34" s="33" t="str">
        <x:v>견적서</x:v>
      </x:c>
      <x:c r="F34" s="33" t="str">
        <x:v>견적서</x:v>
      </x:c>
      <x:c r="G34" s="33" t="str">
        <x:v>봄날병원</x:v>
      </x:c>
      <x:c r="H34" s="33"/>
      <x:c r="I34" s="33"/>
      <x:c r="J34" s="42" t="n">
        <x:v>46269</x:v>
      </x:c>
      <x:c r="K34" s="33" t="str">
        <x:v>견적일로부터 30일</x:v>
      </x:c>
      <x:c r="L34" s="33" t="str">
        <x:v>SL-260904-029</x:v>
      </x:c>
      <x:c r="M34" s="33" t="str">
        <x:v>KRW</x:v>
      </x:c>
      <x:c r="N34" s="45"/>
      <x:c r="O34" s="45"/>
      <x:c r="P34" s="39" t="n">
        <x:v>55960000</x:v>
      </x:c>
      <x:c r="Q34" s="48"/>
      <x:c r="R34" s="48"/>
      <x:c r="S34" s="48"/>
      <x:c r="T34" s="33" t="n">
        <x:f>COUNTIF('품목 정답'!$A$5:$A$234,A34)</x:f>
        <x:v>6</x:v>
      </x:c>
      <x:c r="U34" s="33" t="str">
        <x:v>봄날병원 대상 레이저장비 견적. 견적일 2026-09-04, 총액 55,960,000원(VAT 포함), 품목 6행.</x:v>
      </x:c>
      <x:c r="V34" s="33" t="str">
        <x:v>견적서, 봄날병원, SL-260904-029, 레이저장비, LR-CORE3, LP200, LR2000, LR-CORE2, LP1500, LR-CORE1</x:v>
      </x:c>
      <x:c r="W34" s="33" t="str">
        <x:v>p.1: 고객사명·견적일자·유효기간·견적번호·견적합계·품목표</x:v>
      </x:c>
      <x:c r="X34" s="39" t="n">
        <x:f>SUMIF('품목 정답'!$A$5:$A$234,A34,'품목 정답'!$I$5:$I$234)</x:f>
        <x:v>55960000</x:v>
      </x:c>
      <x:c r="Y34" s="33" t="str">
        <x:f>IF(X34=P34,"일치","불일치")</x:f>
        <x:v>일치</x:v>
      </x:c>
      <x:c r="Z34" s="34" t="str">
        <x:v>[검증]</x:v>
      </x:c>
    </x:row>
    <x:row r="35" ht="42" customHeight="1">
      <x:c r="A35" s="32" t="str">
        <x:v>QUOTE-030</x:v>
      </x:c>
      <x:c r="B35" s="33" t="str">
        <x:v>견적서_30.pdf</x:v>
      </x:c>
      <x:c r="C35" s="33" t="str">
        <x:v>PDF</x:v>
      </x:c>
      <x:c r="D35" s="33" t="n">
        <x:v>1</x:v>
      </x:c>
      <x:c r="E35" s="33" t="str">
        <x:v>견적서</x:v>
      </x:c>
      <x:c r="F35" s="33" t="str">
        <x:v>견적서</x:v>
      </x:c>
      <x:c r="G35" s="33" t="str">
        <x:v>가람새병원</x:v>
      </x:c>
      <x:c r="H35" s="33"/>
      <x:c r="I35" s="33"/>
      <x:c r="J35" s="42" t="n">
        <x:v>46269</x:v>
      </x:c>
      <x:c r="K35" s="33" t="str">
        <x:v>견적일로부터 30일</x:v>
      </x:c>
      <x:c r="L35" s="33" t="str">
        <x:v>SL-260904-030</x:v>
      </x:c>
      <x:c r="M35" s="33" t="str">
        <x:v>KRW</x:v>
      </x:c>
      <x:c r="N35" s="45"/>
      <x:c r="O35" s="45"/>
      <x:c r="P35" s="39" t="n">
        <x:v>44120000</x:v>
      </x:c>
      <x:c r="Q35" s="48"/>
      <x:c r="R35" s="48"/>
      <x:c r="S35" s="48"/>
      <x:c r="T35" s="33" t="n">
        <x:f>COUNTIF('품목 정답'!$A$5:$A$234,A35)</x:f>
        <x:v>6</x:v>
      </x:c>
      <x:c r="U35" s="33" t="str">
        <x:v>가람새병원 대상 레이저장비 견적. 견적일 2026-09-04, 총액 44,120,000원(VAT 포함), 품목 6행.</x:v>
      </x:c>
      <x:c r="V35" s="33" t="str">
        <x:v>견적서, 가람새병원, SL-260904-030, 레이저장비, LP1000, LP200, LP100, LR1000, LR-CORE2, LP1500</x:v>
      </x:c>
      <x:c r="W35" s="33" t="str">
        <x:v>p.1: 고객사명·견적일자·유효기간·견적번호·견적합계·품목표</x:v>
      </x:c>
      <x:c r="X35" s="39" t="n">
        <x:f>SUMIF('품목 정답'!$A$5:$A$234,A35,'품목 정답'!$I$5:$I$234)</x:f>
        <x:v>44120000</x:v>
      </x:c>
      <x:c r="Y35" s="33" t="str">
        <x:f>IF(X35=P35,"일치","불일치")</x:f>
        <x:v>일치</x:v>
      </x:c>
      <x:c r="Z35" s="34" t="str">
        <x:v>[검증]</x:v>
      </x:c>
    </x:row>
    <x:row r="36" ht="42" customHeight="1">
      <x:c r="A36" s="32" t="str">
        <x:v>QUOTE-031</x:v>
      </x:c>
      <x:c r="B36" s="33" t="str">
        <x:v>견적서_31.pdf</x:v>
      </x:c>
      <x:c r="C36" s="33" t="str">
        <x:v>PDF</x:v>
      </x:c>
      <x:c r="D36" s="33" t="n">
        <x:v>1</x:v>
      </x:c>
      <x:c r="E36" s="33" t="str">
        <x:v>견적서</x:v>
      </x:c>
      <x:c r="F36" s="33" t="str">
        <x:v>견적서</x:v>
      </x:c>
      <x:c r="G36" s="33" t="str">
        <x:v>희망누리병원</x:v>
      </x:c>
      <x:c r="H36" s="33"/>
      <x:c r="I36" s="33"/>
      <x:c r="J36" s="42" t="n">
        <x:v>46269</x:v>
      </x:c>
      <x:c r="K36" s="33" t="str">
        <x:v>견적일로부터 30일</x:v>
      </x:c>
      <x:c r="L36" s="33" t="str">
        <x:v>SL-260904-031</x:v>
      </x:c>
      <x:c r="M36" s="33" t="str">
        <x:v>KRW</x:v>
      </x:c>
      <x:c r="N36" s="45"/>
      <x:c r="O36" s="45"/>
      <x:c r="P36" s="39" t="n">
        <x:v>40945000</x:v>
      </x:c>
      <x:c r="Q36" s="48"/>
      <x:c r="R36" s="48"/>
      <x:c r="S36" s="48"/>
      <x:c r="T36" s="33" t="n">
        <x:f>COUNTIF('품목 정답'!$A$5:$A$234,A36)</x:f>
        <x:v>6</x:v>
      </x:c>
      <x:c r="U36" s="33" t="str">
        <x:v>희망누리병원 대상 레이저장비 견적. 견적일 2026-09-04, 총액 40,945,000원(VAT 포함), 품목 6행.</x:v>
      </x:c>
      <x:c r="V36" s="33" t="str">
        <x:v>견적서, 희망누리병원, SL-260904-031, 레이저장비, LR1000, LP200, LP1000, LP1500, LR-CORE2, LR-CORE3</x:v>
      </x:c>
      <x:c r="W36" s="33" t="str">
        <x:v>p.1: 고객사명·견적일자·유효기간·견적번호·견적합계·품목표</x:v>
      </x:c>
      <x:c r="X36" s="39" t="n">
        <x:f>SUMIF('품목 정답'!$A$5:$A$234,A36,'품목 정답'!$I$5:$I$234)</x:f>
        <x:v>40945000</x:v>
      </x:c>
      <x:c r="Y36" s="33" t="str">
        <x:f>IF(X36=P36,"일치","불일치")</x:f>
        <x:v>일치</x:v>
      </x:c>
      <x:c r="Z36" s="34" t="str">
        <x:v>[검증]</x:v>
      </x:c>
    </x:row>
    <x:row r="37" ht="42" customHeight="1">
      <x:c r="A37" s="32" t="str">
        <x:v>QUOTE-032</x:v>
      </x:c>
      <x:c r="B37" s="33" t="str">
        <x:v>견적서_32.pdf</x:v>
      </x:c>
      <x:c r="C37" s="33" t="str">
        <x:v>PDF</x:v>
      </x:c>
      <x:c r="D37" s="33" t="n">
        <x:v>1</x:v>
      </x:c>
      <x:c r="E37" s="33" t="str">
        <x:v>견적서</x:v>
      </x:c>
      <x:c r="F37" s="33" t="str">
        <x:v>견적서</x:v>
      </x:c>
      <x:c r="G37" s="33" t="str">
        <x:v>그린메디병원</x:v>
      </x:c>
      <x:c r="H37" s="33"/>
      <x:c r="I37" s="33"/>
      <x:c r="J37" s="42" t="n">
        <x:v>46269</x:v>
      </x:c>
      <x:c r="K37" s="33" t="str">
        <x:v>견적일로부터 30일</x:v>
      </x:c>
      <x:c r="L37" s="33" t="str">
        <x:v>SL-260904-032</x:v>
      </x:c>
      <x:c r="M37" s="33" t="str">
        <x:v>KRW</x:v>
      </x:c>
      <x:c r="N37" s="45"/>
      <x:c r="O37" s="45"/>
      <x:c r="P37" s="39" t="n">
        <x:v>31245000</x:v>
      </x:c>
      <x:c r="Q37" s="48"/>
      <x:c r="R37" s="48"/>
      <x:c r="S37" s="48"/>
      <x:c r="T37" s="33" t="n">
        <x:f>COUNTIF('품목 정답'!$A$5:$A$234,A37)</x:f>
        <x:v>4</x:v>
      </x:c>
      <x:c r="U37" s="33" t="str">
        <x:v>그린메디병원 대상 레이저장비 견적. 견적일 2026-09-04, 총액 31,245,000원(VAT 포함), 품목 4행.</x:v>
      </x:c>
      <x:c r="V37" s="33" t="str">
        <x:v>견적서, 그린메디병원, SL-260904-032, 레이저장비, LR1000, LP1500, LP100, LR-CORE2</x:v>
      </x:c>
      <x:c r="W37" s="33" t="str">
        <x:v>p.1: 고객사명·견적일자·유효기간·견적번호·견적합계·품목표</x:v>
      </x:c>
      <x:c r="X37" s="39" t="n">
        <x:f>SUMIF('품목 정답'!$A$5:$A$234,A37,'품목 정답'!$I$5:$I$234)</x:f>
        <x:v>31245000</x:v>
      </x:c>
      <x:c r="Y37" s="33" t="str">
        <x:f>IF(X37=P37,"일치","불일치")</x:f>
        <x:v>일치</x:v>
      </x:c>
      <x:c r="Z37" s="34" t="str">
        <x:v>[검증]</x:v>
      </x:c>
    </x:row>
    <x:row r="38" ht="42" customHeight="1">
      <x:c r="A38" s="32" t="str">
        <x:v>QUOTE-033</x:v>
      </x:c>
      <x:c r="B38" s="33" t="str">
        <x:v>견적서_33.pdf</x:v>
      </x:c>
      <x:c r="C38" s="33" t="str">
        <x:v>PDF</x:v>
      </x:c>
      <x:c r="D38" s="33" t="n">
        <x:v>1</x:v>
      </x:c>
      <x:c r="E38" s="33" t="str">
        <x:v>견적서</x:v>
      </x:c>
      <x:c r="F38" s="33" t="str">
        <x:v>견적서</x:v>
      </x:c>
      <x:c r="G38" s="33" t="str">
        <x:v>미르종합병원</x:v>
      </x:c>
      <x:c r="H38" s="33"/>
      <x:c r="I38" s="33"/>
      <x:c r="J38" s="42" t="n">
        <x:v>46269</x:v>
      </x:c>
      <x:c r="K38" s="33" t="str">
        <x:v>견적일로부터 30일</x:v>
      </x:c>
      <x:c r="L38" s="33" t="str">
        <x:v>SL-260904-033</x:v>
      </x:c>
      <x:c r="M38" s="33" t="str">
        <x:v>KRW</x:v>
      </x:c>
      <x:c r="N38" s="45"/>
      <x:c r="O38" s="45"/>
      <x:c r="P38" s="39" t="n">
        <x:v>38995000</x:v>
      </x:c>
      <x:c r="Q38" s="48"/>
      <x:c r="R38" s="48"/>
      <x:c r="S38" s="48"/>
      <x:c r="T38" s="33" t="n">
        <x:f>COUNTIF('품목 정답'!$A$5:$A$234,A38)</x:f>
        <x:v>5</x:v>
      </x:c>
      <x:c r="U38" s="33" t="str">
        <x:v>미르종합병원 대상 레이저장비 견적. 견적일 2026-09-04, 총액 38,995,000원(VAT 포함), 품목 5행.</x:v>
      </x:c>
      <x:c r="V38" s="33" t="str">
        <x:v>견적서, 미르종합병원, SL-260904-033, 레이저장비, LR-PRO, LP1500, LP200, LR-CORE1, LP1000</x:v>
      </x:c>
      <x:c r="W38" s="33" t="str">
        <x:v>p.1: 고객사명·견적일자·유효기간·견적번호·견적합계·품목표</x:v>
      </x:c>
      <x:c r="X38" s="39" t="n">
        <x:f>SUMIF('품목 정답'!$A$5:$A$234,A38,'품목 정답'!$I$5:$I$234)</x:f>
        <x:v>38995000</x:v>
      </x:c>
      <x:c r="Y38" s="33" t="str">
        <x:f>IF(X38=P38,"일치","불일치")</x:f>
        <x:v>일치</x:v>
      </x:c>
      <x:c r="Z38" s="34" t="str">
        <x:v>[검증]</x:v>
      </x:c>
    </x:row>
    <x:row r="39" ht="42" customHeight="1">
      <x:c r="A39" s="32" t="str">
        <x:v>QUOTE-034</x:v>
      </x:c>
      <x:c r="B39" s="33" t="str">
        <x:v>견적서_34.pdf</x:v>
      </x:c>
      <x:c r="C39" s="33" t="str">
        <x:v>PDF</x:v>
      </x:c>
      <x:c r="D39" s="33" t="n">
        <x:v>1</x:v>
      </x:c>
      <x:c r="E39" s="33" t="str">
        <x:v>견적서</x:v>
      </x:c>
      <x:c r="F39" s="33" t="str">
        <x:v>견적서</x:v>
      </x:c>
      <x:c r="G39" s="33" t="str">
        <x:v>해온병원</x:v>
      </x:c>
      <x:c r="H39" s="33"/>
      <x:c r="I39" s="33"/>
      <x:c r="J39" s="42" t="n">
        <x:v>46269</x:v>
      </x:c>
      <x:c r="K39" s="33" t="str">
        <x:v>견적일로부터 30일</x:v>
      </x:c>
      <x:c r="L39" s="33" t="str">
        <x:v>SL-260904-034</x:v>
      </x:c>
      <x:c r="M39" s="33" t="str">
        <x:v>KRW</x:v>
      </x:c>
      <x:c r="N39" s="45"/>
      <x:c r="O39" s="45"/>
      <x:c r="P39" s="39" t="n">
        <x:v>9040000</x:v>
      </x:c>
      <x:c r="Q39" s="48"/>
      <x:c r="R39" s="48"/>
      <x:c r="S39" s="48"/>
      <x:c r="T39" s="33" t="n">
        <x:f>COUNTIF('품목 정답'!$A$5:$A$234,A39)</x:f>
        <x:v>3</x:v>
      </x:c>
      <x:c r="U39" s="33" t="str">
        <x:v>해온병원 대상 레이저장비 견적. 견적일 2026-09-04, 총액 9,040,000원(VAT 포함), 품목 3행.</x:v>
      </x:c>
      <x:c r="V39" s="33" t="str">
        <x:v>견적서, 해온병원, SL-260904-034, 레이저장비, LR2000, LP200, LP100</x:v>
      </x:c>
      <x:c r="W39" s="33" t="str">
        <x:v>p.1: 고객사명·견적일자·유효기간·견적번호·견적합계·품목표</x:v>
      </x:c>
      <x:c r="X39" s="39" t="n">
        <x:f>SUMIF('품목 정답'!$A$5:$A$234,A39,'품목 정답'!$I$5:$I$234)</x:f>
        <x:v>9040000</x:v>
      </x:c>
      <x:c r="Y39" s="33" t="str">
        <x:f>IF(X39=P39,"일치","불일치")</x:f>
        <x:v>일치</x:v>
      </x:c>
      <x:c r="Z39" s="34" t="str">
        <x:v>[검증]</x:v>
      </x:c>
    </x:row>
    <x:row r="40" ht="42" customHeight="1">
      <x:c r="A40" s="32" t="str">
        <x:v>QUOTE-035</x:v>
      </x:c>
      <x:c r="B40" s="33" t="str">
        <x:v>견적서_35.pdf</x:v>
      </x:c>
      <x:c r="C40" s="33" t="str">
        <x:v>PDF</x:v>
      </x:c>
      <x:c r="D40" s="33" t="n">
        <x:v>1</x:v>
      </x:c>
      <x:c r="E40" s="33" t="str">
        <x:v>견적서</x:v>
      </x:c>
      <x:c r="F40" s="33" t="str">
        <x:v>견적서</x:v>
      </x:c>
      <x:c r="G40" s="33" t="str">
        <x:v>온새미로의료원</x:v>
      </x:c>
      <x:c r="H40" s="33"/>
      <x:c r="I40" s="33"/>
      <x:c r="J40" s="42" t="n">
        <x:v>46269</x:v>
      </x:c>
      <x:c r="K40" s="33" t="str">
        <x:v>견적일로부터 30일</x:v>
      </x:c>
      <x:c r="L40" s="33" t="str">
        <x:v>SL-260904-035</x:v>
      </x:c>
      <x:c r="M40" s="33" t="str">
        <x:v>KRW</x:v>
      </x:c>
      <x:c r="N40" s="45"/>
      <x:c r="O40" s="45"/>
      <x:c r="P40" s="39" t="n">
        <x:v>17240000</x:v>
      </x:c>
      <x:c r="Q40" s="48"/>
      <x:c r="R40" s="48"/>
      <x:c r="S40" s="48"/>
      <x:c r="T40" s="33" t="n">
        <x:f>COUNTIF('품목 정답'!$A$5:$A$234,A40)</x:f>
        <x:v>3</x:v>
      </x:c>
      <x:c r="U40" s="33" t="str">
        <x:v>온새미로의료원 대상 레이저장비 견적. 견적일 2026-09-04, 총액 17,240,000원(VAT 포함), 품목 3행.</x:v>
      </x:c>
      <x:c r="V40" s="33" t="str">
        <x:v>견적서, 온새미로의료원, SL-260904-035, 레이저장비, LP1000, LR-CORE1, LR-PRO</x:v>
      </x:c>
      <x:c r="W40" s="33" t="str">
        <x:v>p.1: 고객사명·견적일자·유효기간·견적번호·견적합계·품목표</x:v>
      </x:c>
      <x:c r="X40" s="39" t="n">
        <x:f>SUMIF('품목 정답'!$A$5:$A$234,A40,'품목 정답'!$I$5:$I$234)</x:f>
        <x:v>17240000</x:v>
      </x:c>
      <x:c r="Y40" s="33" t="str">
        <x:f>IF(X40=P40,"일치","불일치")</x:f>
        <x:v>일치</x:v>
      </x:c>
      <x:c r="Z40" s="34" t="str">
        <x:v>[검증]</x:v>
      </x:c>
    </x:row>
    <x:row r="41" ht="42" customHeight="1">
      <x:c r="A41" s="32" t="str">
        <x:v>QUOTE-036</x:v>
      </x:c>
      <x:c r="B41" s="33" t="str">
        <x:v>견적서_36.pdf</x:v>
      </x:c>
      <x:c r="C41" s="33" t="str">
        <x:v>PDF</x:v>
      </x:c>
      <x:c r="D41" s="33" t="n">
        <x:v>1</x:v>
      </x:c>
      <x:c r="E41" s="33" t="str">
        <x:v>견적서</x:v>
      </x:c>
      <x:c r="F41" s="33" t="str">
        <x:v>견적서</x:v>
      </x:c>
      <x:c r="G41" s="33" t="str">
        <x:v>다정병원</x:v>
      </x:c>
      <x:c r="H41" s="33"/>
      <x:c r="I41" s="33"/>
      <x:c r="J41" s="42" t="n">
        <x:v>46269</x:v>
      </x:c>
      <x:c r="K41" s="33" t="str">
        <x:v>견적일로부터 30일</x:v>
      </x:c>
      <x:c r="L41" s="33" t="str">
        <x:v>SL-260904-036</x:v>
      </x:c>
      <x:c r="M41" s="33" t="str">
        <x:v>KRW</x:v>
      </x:c>
      <x:c r="N41" s="45"/>
      <x:c r="O41" s="45"/>
      <x:c r="P41" s="39" t="n">
        <x:v>33055000</x:v>
      </x:c>
      <x:c r="Q41" s="48"/>
      <x:c r="R41" s="48"/>
      <x:c r="S41" s="48"/>
      <x:c r="T41" s="33" t="n">
        <x:f>COUNTIF('품목 정답'!$A$5:$A$234,A41)</x:f>
        <x:v>3</x:v>
      </x:c>
      <x:c r="U41" s="33" t="str">
        <x:v>다정병원 대상 레이저장비 견적. 견적일 2026-09-04, 총액 33,055,000원(VAT 포함), 품목 3행.</x:v>
      </x:c>
      <x:c r="V41" s="33" t="str">
        <x:v>견적서, 다정병원, SL-260904-036, 레이저장비, LR-CORE1, LR1000, LP1500</x:v>
      </x:c>
      <x:c r="W41" s="33" t="str">
        <x:v>p.1: 고객사명·견적일자·유효기간·견적번호·견적합계·품목표</x:v>
      </x:c>
      <x:c r="X41" s="39" t="n">
        <x:f>SUMIF('품목 정답'!$A$5:$A$234,A41,'품목 정답'!$I$5:$I$234)</x:f>
        <x:v>33055000</x:v>
      </x:c>
      <x:c r="Y41" s="33" t="str">
        <x:f>IF(X41=P41,"일치","불일치")</x:f>
        <x:v>일치</x:v>
      </x:c>
      <x:c r="Z41" s="34" t="str">
        <x:v>[검증]</x:v>
      </x:c>
    </x:row>
    <x:row r="42" ht="42" customHeight="1">
      <x:c r="A42" s="32" t="str">
        <x:v>QUOTE-037</x:v>
      </x:c>
      <x:c r="B42" s="33" t="str">
        <x:v>견적서_37.pdf</x:v>
      </x:c>
      <x:c r="C42" s="33" t="str">
        <x:v>PDF</x:v>
      </x:c>
      <x:c r="D42" s="33" t="n">
        <x:v>1</x:v>
      </x:c>
      <x:c r="E42" s="33" t="str">
        <x:v>견적서</x:v>
      </x:c>
      <x:c r="F42" s="33" t="str">
        <x:v>견적서</x:v>
      </x:c>
      <x:c r="G42" s="33" t="str">
        <x:v>별빛종합병원</x:v>
      </x:c>
      <x:c r="H42" s="33"/>
      <x:c r="I42" s="33"/>
      <x:c r="J42" s="42" t="n">
        <x:v>46269</x:v>
      </x:c>
      <x:c r="K42" s="33" t="str">
        <x:v>견적일로부터 30일</x:v>
      </x:c>
      <x:c r="L42" s="33" t="str">
        <x:v>SL-260904-037</x:v>
      </x:c>
      <x:c r="M42" s="33" t="str">
        <x:v>KRW</x:v>
      </x:c>
      <x:c r="N42" s="45"/>
      <x:c r="O42" s="45"/>
      <x:c r="P42" s="39" t="n">
        <x:v>8710000</x:v>
      </x:c>
      <x:c r="Q42" s="48"/>
      <x:c r="R42" s="48"/>
      <x:c r="S42" s="48"/>
      <x:c r="T42" s="33" t="n">
        <x:f>COUNTIF('품목 정답'!$A$5:$A$234,A42)</x:f>
        <x:v>3</x:v>
      </x:c>
      <x:c r="U42" s="33" t="str">
        <x:v>별빛종합병원 대상 레이저장비 견적. 견적일 2026-09-04, 총액 8,710,000원(VAT 포함), 품목 3행.</x:v>
      </x:c>
      <x:c r="V42" s="33" t="str">
        <x:v>견적서, 별빛종합병원, SL-260904-037, 레이저장비, LR-CORE3, LP1000, LR-PRO</x:v>
      </x:c>
      <x:c r="W42" s="33" t="str">
        <x:v>p.1: 고객사명·견적일자·유효기간·견적번호·견적합계·품목표</x:v>
      </x:c>
      <x:c r="X42" s="39" t="n">
        <x:f>SUMIF('품목 정답'!$A$5:$A$234,A42,'품목 정답'!$I$5:$I$234)</x:f>
        <x:v>8710000</x:v>
      </x:c>
      <x:c r="Y42" s="33" t="str">
        <x:f>IF(X42=P42,"일치","불일치")</x:f>
        <x:v>일치</x:v>
      </x:c>
      <x:c r="Z42" s="34" t="str">
        <x:v>[검증]</x:v>
      </x:c>
    </x:row>
    <x:row r="43" ht="42" customHeight="1">
      <x:c r="A43" s="32" t="str">
        <x:v>QUOTE-038</x:v>
      </x:c>
      <x:c r="B43" s="33" t="str">
        <x:v>견적서_38.pdf</x:v>
      </x:c>
      <x:c r="C43" s="33" t="str">
        <x:v>PDF</x:v>
      </x:c>
      <x:c r="D43" s="33" t="n">
        <x:v>1</x:v>
      </x:c>
      <x:c r="E43" s="33" t="str">
        <x:v>견적서</x:v>
      </x:c>
      <x:c r="F43" s="33" t="str">
        <x:v>견적서</x:v>
      </x:c>
      <x:c r="G43" s="33" t="str">
        <x:v>숲길의료원</x:v>
      </x:c>
      <x:c r="H43" s="33"/>
      <x:c r="I43" s="33"/>
      <x:c r="J43" s="42" t="n">
        <x:v>46269</x:v>
      </x:c>
      <x:c r="K43" s="33" t="str">
        <x:v>견적일로부터 30일</x:v>
      </x:c>
      <x:c r="L43" s="33" t="str">
        <x:v>SL-260904-038</x:v>
      </x:c>
      <x:c r="M43" s="33" t="str">
        <x:v>KRW</x:v>
      </x:c>
      <x:c r="N43" s="45"/>
      <x:c r="O43" s="45"/>
      <x:c r="P43" s="39" t="n">
        <x:v>21015000</x:v>
      </x:c>
      <x:c r="Q43" s="48"/>
      <x:c r="R43" s="48"/>
      <x:c r="S43" s="48"/>
      <x:c r="T43" s="33" t="n">
        <x:f>COUNTIF('품목 정답'!$A$5:$A$234,A43)</x:f>
        <x:v>3</x:v>
      </x:c>
      <x:c r="U43" s="33" t="str">
        <x:v>숲길의료원 대상 레이저장비 견적. 견적일 2026-09-04, 총액 21,015,000원(VAT 포함), 품목 3행.</x:v>
      </x:c>
      <x:c r="V43" s="33" t="str">
        <x:v>견적서, 숲길의료원, SL-260904-038, 레이저장비, LP2000, LR-PRO, LP200</x:v>
      </x:c>
      <x:c r="W43" s="33" t="str">
        <x:v>p.1: 고객사명·견적일자·유효기간·견적번호·견적합계·품목표</x:v>
      </x:c>
      <x:c r="X43" s="39" t="n">
        <x:f>SUMIF('품목 정답'!$A$5:$A$234,A43,'품목 정답'!$I$5:$I$234)</x:f>
        <x:v>21015000</x:v>
      </x:c>
      <x:c r="Y43" s="33" t="str">
        <x:f>IF(X43=P43,"일치","불일치")</x:f>
        <x:v>일치</x:v>
      </x:c>
      <x:c r="Z43" s="34" t="str">
        <x:v>[검증]</x:v>
      </x:c>
    </x:row>
    <x:row r="44" ht="42" customHeight="1">
      <x:c r="A44" s="32" t="str">
        <x:v>QUOTE-039</x:v>
      </x:c>
      <x:c r="B44" s="33" t="str">
        <x:v>견적서_39.pdf</x:v>
      </x:c>
      <x:c r="C44" s="33" t="str">
        <x:v>PDF</x:v>
      </x:c>
      <x:c r="D44" s="33" t="n">
        <x:v>1</x:v>
      </x:c>
      <x:c r="E44" s="33" t="str">
        <x:v>견적서</x:v>
      </x:c>
      <x:c r="F44" s="33" t="str">
        <x:v>견적서</x:v>
      </x:c>
      <x:c r="G44" s="33" t="str">
        <x:v>이루다병원</x:v>
      </x:c>
      <x:c r="H44" s="33"/>
      <x:c r="I44" s="33"/>
      <x:c r="J44" s="42" t="n">
        <x:v>46269</x:v>
      </x:c>
      <x:c r="K44" s="33" t="str">
        <x:v>견적일로부터 30일</x:v>
      </x:c>
      <x:c r="L44" s="33" t="str">
        <x:v>SL-260904-039</x:v>
      </x:c>
      <x:c r="M44" s="33" t="str">
        <x:v>KRW</x:v>
      </x:c>
      <x:c r="N44" s="45"/>
      <x:c r="O44" s="45"/>
      <x:c r="P44" s="39" t="n">
        <x:v>41035000</x:v>
      </x:c>
      <x:c r="Q44" s="48"/>
      <x:c r="R44" s="48"/>
      <x:c r="S44" s="48"/>
      <x:c r="T44" s="33" t="n">
        <x:f>COUNTIF('품목 정답'!$A$5:$A$234,A44)</x:f>
        <x:v>6</x:v>
      </x:c>
      <x:c r="U44" s="33" t="str">
        <x:v>이루다병원 대상 레이저장비 견적. 견적일 2026-09-04, 총액 41,035,000원(VAT 포함), 품목 6행.</x:v>
      </x:c>
      <x:c r="V44" s="33" t="str">
        <x:v>견적서, 이루다병원, SL-260904-039, 레이저장비, LR-CORE2, LP1500, LP1000, LR-CORE1, LR-PRO, LP100</x:v>
      </x:c>
      <x:c r="W44" s="33" t="str">
        <x:v>p.1: 고객사명·견적일자·유효기간·견적번호·견적합계·품목표</x:v>
      </x:c>
      <x:c r="X44" s="39" t="n">
        <x:f>SUMIF('품목 정답'!$A$5:$A$234,A44,'품목 정답'!$I$5:$I$234)</x:f>
        <x:v>41035000</x:v>
      </x:c>
      <x:c r="Y44" s="33" t="str">
        <x:f>IF(X44=P44,"일치","불일치")</x:f>
        <x:v>일치</x:v>
      </x:c>
      <x:c r="Z44" s="34" t="str">
        <x:v>[검증]</x:v>
      </x:c>
    </x:row>
    <x:row r="45" ht="42" customHeight="1">
      <x:c r="A45" s="32" t="str">
        <x:v>QUOTE-040</x:v>
      </x:c>
      <x:c r="B45" s="33" t="str">
        <x:v>견적서_40.pdf</x:v>
      </x:c>
      <x:c r="C45" s="33" t="str">
        <x:v>PDF</x:v>
      </x:c>
      <x:c r="D45" s="33" t="n">
        <x:v>1</x:v>
      </x:c>
      <x:c r="E45" s="33" t="str">
        <x:v>견적서</x:v>
      </x:c>
      <x:c r="F45" s="33" t="str">
        <x:v>견적서</x:v>
      </x:c>
      <x:c r="G45" s="33" t="str">
        <x:v>한울메디컬센터</x:v>
      </x:c>
      <x:c r="H45" s="33"/>
      <x:c r="I45" s="33"/>
      <x:c r="J45" s="42" t="n">
        <x:v>46269</x:v>
      </x:c>
      <x:c r="K45" s="33" t="str">
        <x:v>견적일로부터 30일</x:v>
      </x:c>
      <x:c r="L45" s="33" t="str">
        <x:v>SL-260904-040</x:v>
      </x:c>
      <x:c r="M45" s="33" t="str">
        <x:v>KRW</x:v>
      </x:c>
      <x:c r="N45" s="45"/>
      <x:c r="O45" s="45"/>
      <x:c r="P45" s="39" t="n">
        <x:v>40975000</x:v>
      </x:c>
      <x:c r="Q45" s="48"/>
      <x:c r="R45" s="48"/>
      <x:c r="S45" s="48"/>
      <x:c r="T45" s="33" t="n">
        <x:f>COUNTIF('품목 정답'!$A$5:$A$234,A45)</x:f>
        <x:v>6</x:v>
      </x:c>
      <x:c r="U45" s="33" t="str">
        <x:v>한울메디컬센터 대상 레이저장비 견적. 견적일 2026-09-04, 총액 40,975,000원(VAT 포함), 품목 6행.</x:v>
      </x:c>
      <x:c r="V45" s="33" t="str">
        <x:v>견적서, 한울메디컬센터, SL-260904-040, 레이저장비, LR-CORE1, LR-CORE3, LP2000, LR2000, LP100, LP1000</x:v>
      </x:c>
      <x:c r="W45" s="33" t="str">
        <x:v>p.1: 고객사명·견적일자·유효기간·견적번호·견적합계·품목표</x:v>
      </x:c>
      <x:c r="X45" s="39" t="n">
        <x:f>SUMIF('품목 정답'!$A$5:$A$234,A45,'품목 정답'!$I$5:$I$234)</x:f>
        <x:v>40975000</x:v>
      </x:c>
      <x:c r="Y45" s="33" t="str">
        <x:f>IF(X45=P45,"일치","불일치")</x:f>
        <x:v>일치</x:v>
      </x:c>
      <x:c r="Z45" s="34" t="str">
        <x:v>[검증]</x:v>
      </x:c>
    </x:row>
    <x:row r="46" ht="42" customHeight="1">
      <x:c r="A46" s="32" t="str">
        <x:v>QUOTE-041</x:v>
      </x:c>
      <x:c r="B46" s="33" t="str">
        <x:v>견적서_41.pdf</x:v>
      </x:c>
      <x:c r="C46" s="33" t="str">
        <x:v>PDF</x:v>
      </x:c>
      <x:c r="D46" s="33" t="n">
        <x:v>1</x:v>
      </x:c>
      <x:c r="E46" s="33" t="str">
        <x:v>견적서</x:v>
      </x:c>
      <x:c r="F46" s="33" t="str">
        <x:v>견적서</x:v>
      </x:c>
      <x:c r="G46" s="33" t="str">
        <x:v>서림종합병원</x:v>
      </x:c>
      <x:c r="H46" s="33"/>
      <x:c r="I46" s="33"/>
      <x:c r="J46" s="42" t="n">
        <x:v>46269</x:v>
      </x:c>
      <x:c r="K46" s="33" t="str">
        <x:v>견적일로부터 30일</x:v>
      </x:c>
      <x:c r="L46" s="33" t="str">
        <x:v>SL-260904-041</x:v>
      </x:c>
      <x:c r="M46" s="33" t="str">
        <x:v>KRW</x:v>
      </x:c>
      <x:c r="N46" s="45"/>
      <x:c r="O46" s="45"/>
      <x:c r="P46" s="39" t="n">
        <x:v>15090000</x:v>
      </x:c>
      <x:c r="Q46" s="48"/>
      <x:c r="R46" s="48"/>
      <x:c r="S46" s="48"/>
      <x:c r="T46" s="33" t="n">
        <x:f>COUNTIF('품목 정답'!$A$5:$A$234,A46)</x:f>
        <x:v>6</x:v>
      </x:c>
      <x:c r="U46" s="33" t="str">
        <x:v>서림종합병원 대상 레이저장비 견적. 견적일 2026-09-04, 총액 15,090,000원(VAT 포함), 품목 6행.</x:v>
      </x:c>
      <x:c r="V46" s="33" t="str">
        <x:v>견적서, 서림종합병원, SL-260904-041, 레이저장비, LP200, LP1500, LP1000, LR-CORE3, LP100, LR1000</x:v>
      </x:c>
      <x:c r="W46" s="33" t="str">
        <x:v>p.1: 고객사명·견적일자·유효기간·견적번호·견적합계·품목표</x:v>
      </x:c>
      <x:c r="X46" s="39" t="n">
        <x:f>SUMIF('품목 정답'!$A$5:$A$234,A46,'품목 정답'!$I$5:$I$234)</x:f>
        <x:v>15090000</x:v>
      </x:c>
      <x:c r="Y46" s="33" t="str">
        <x:f>IF(X46=P46,"일치","불일치")</x:f>
        <x:v>일치</x:v>
      </x:c>
      <x:c r="Z46" s="34" t="str">
        <x:v>[검증]</x:v>
      </x:c>
    </x:row>
    <x:row r="47" ht="42" customHeight="1">
      <x:c r="A47" s="32" t="str">
        <x:v>QUOTE-042</x:v>
      </x:c>
      <x:c r="B47" s="33" t="str">
        <x:v>견적서_42.pdf</x:v>
      </x:c>
      <x:c r="C47" s="33" t="str">
        <x:v>PDF</x:v>
      </x:c>
      <x:c r="D47" s="33" t="n">
        <x:v>1</x:v>
      </x:c>
      <x:c r="E47" s="33" t="str">
        <x:v>견적서</x:v>
      </x:c>
      <x:c r="F47" s="33" t="str">
        <x:v>견적서</x:v>
      </x:c>
      <x:c r="G47" s="33" t="str">
        <x:v>아침의료원</x:v>
      </x:c>
      <x:c r="H47" s="33"/>
      <x:c r="I47" s="33"/>
      <x:c r="J47" s="42" t="n">
        <x:v>46269</x:v>
      </x:c>
      <x:c r="K47" s="33" t="str">
        <x:v>견적일로부터 30일</x:v>
      </x:c>
      <x:c r="L47" s="33" t="str">
        <x:v>SL-260904-042</x:v>
      </x:c>
      <x:c r="M47" s="33" t="str">
        <x:v>KRW</x:v>
      </x:c>
      <x:c r="N47" s="45"/>
      <x:c r="O47" s="45"/>
      <x:c r="P47" s="39" t="n">
        <x:v>14905000</x:v>
      </x:c>
      <x:c r="Q47" s="48"/>
      <x:c r="R47" s="48"/>
      <x:c r="S47" s="48"/>
      <x:c r="T47" s="33" t="n">
        <x:f>COUNTIF('품목 정답'!$A$5:$A$234,A47)</x:f>
        <x:v>5</x:v>
      </x:c>
      <x:c r="U47" s="33" t="str">
        <x:v>아침의료원 대상 레이저장비 견적. 견적일 2026-09-04, 총액 14,905,000원(VAT 포함), 품목 5행.</x:v>
      </x:c>
      <x:c r="V47" s="33" t="str">
        <x:v>견적서, 아침의료원, SL-260904-042, 레이저장비, LR-PRO, LR-CORE3, LP2000, LR-CORE1, LP100</x:v>
      </x:c>
      <x:c r="W47" s="33" t="str">
        <x:v>p.1: 고객사명·견적일자·유효기간·견적번호·견적합계·품목표</x:v>
      </x:c>
      <x:c r="X47" s="39" t="n">
        <x:f>SUMIF('품목 정답'!$A$5:$A$234,A47,'품목 정답'!$I$5:$I$234)</x:f>
        <x:v>14905000</x:v>
      </x:c>
      <x:c r="Y47" s="33" t="str">
        <x:f>IF(X47=P47,"일치","불일치")</x:f>
        <x:v>일치</x:v>
      </x:c>
      <x:c r="Z47" s="34" t="str">
        <x:v>[검증]</x:v>
      </x:c>
    </x:row>
    <x:row r="48" ht="42" customHeight="1">
      <x:c r="A48" s="32" t="str">
        <x:v>QUOTE-043</x:v>
      </x:c>
      <x:c r="B48" s="33" t="str">
        <x:v>견적서_43.pdf</x:v>
      </x:c>
      <x:c r="C48" s="33" t="str">
        <x:v>PDF</x:v>
      </x:c>
      <x:c r="D48" s="33" t="n">
        <x:v>1</x:v>
      </x:c>
      <x:c r="E48" s="33" t="str">
        <x:v>견적서</x:v>
      </x:c>
      <x:c r="F48" s="33" t="str">
        <x:v>견적서</x:v>
      </x:c>
      <x:c r="G48" s="33" t="str">
        <x:v>더나은병원</x:v>
      </x:c>
      <x:c r="H48" s="33"/>
      <x:c r="I48" s="33"/>
      <x:c r="J48" s="42" t="n">
        <x:v>46269</x:v>
      </x:c>
      <x:c r="K48" s="33" t="str">
        <x:v>견적일로부터 30일</x:v>
      </x:c>
      <x:c r="L48" s="33" t="str">
        <x:v>SL-260904-043</x:v>
      </x:c>
      <x:c r="M48" s="33" t="str">
        <x:v>KRW</x:v>
      </x:c>
      <x:c r="N48" s="45"/>
      <x:c r="O48" s="45"/>
      <x:c r="P48" s="39" t="n">
        <x:v>39810000</x:v>
      </x:c>
      <x:c r="Q48" s="48"/>
      <x:c r="R48" s="48"/>
      <x:c r="S48" s="48"/>
      <x:c r="T48" s="33" t="n">
        <x:f>COUNTIF('품목 정답'!$A$5:$A$234,A48)</x:f>
        <x:v>6</x:v>
      </x:c>
      <x:c r="U48" s="33" t="str">
        <x:v>더나은병원 대상 레이저장비 견적. 견적일 2026-09-04, 총액 39,810,000원(VAT 포함), 품목 6행.</x:v>
      </x:c>
      <x:c r="V48" s="33" t="str">
        <x:v>견적서, 더나은병원, SL-260904-043, 레이저장비, LR-CORE3, LR2000, LP1500, LP2000, LP1000, LR-CORE2</x:v>
      </x:c>
      <x:c r="W48" s="33" t="str">
        <x:v>p.1: 고객사명·견적일자·유효기간·견적번호·견적합계·품목표</x:v>
      </x:c>
      <x:c r="X48" s="39" t="n">
        <x:f>SUMIF('품목 정답'!$A$5:$A$234,A48,'품목 정답'!$I$5:$I$234)</x:f>
        <x:v>39810000</x:v>
      </x:c>
      <x:c r="Y48" s="33" t="str">
        <x:f>IF(X48=P48,"일치","불일치")</x:f>
        <x:v>일치</x:v>
      </x:c>
      <x:c r="Z48" s="34" t="str">
        <x:v>[검증]</x:v>
      </x:c>
    </x:row>
    <x:row r="49" ht="42" customHeight="1">
      <x:c r="A49" s="32" t="str">
        <x:v>QUOTE-044</x:v>
      </x:c>
      <x:c r="B49" s="33" t="str">
        <x:v>견적서_44.pdf</x:v>
      </x:c>
      <x:c r="C49" s="33" t="str">
        <x:v>PDF</x:v>
      </x:c>
      <x:c r="D49" s="33" t="n">
        <x:v>1</x:v>
      </x:c>
      <x:c r="E49" s="33" t="str">
        <x:v>견적서</x:v>
      </x:c>
      <x:c r="F49" s="33" t="str">
        <x:v>견적서</x:v>
      </x:c>
      <x:c r="G49" s="33" t="str">
        <x:v>다온누리병원</x:v>
      </x:c>
      <x:c r="H49" s="33"/>
      <x:c r="I49" s="33"/>
      <x:c r="J49" s="42" t="n">
        <x:v>46269</x:v>
      </x:c>
      <x:c r="K49" s="33" t="str">
        <x:v>견적일로부터 30일</x:v>
      </x:c>
      <x:c r="L49" s="33" t="str">
        <x:v>SL-260904-044</x:v>
      </x:c>
      <x:c r="M49" s="33" t="str">
        <x:v>KRW</x:v>
      </x:c>
      <x:c r="N49" s="45"/>
      <x:c r="O49" s="45"/>
      <x:c r="P49" s="39" t="n">
        <x:v>12220000</x:v>
      </x:c>
      <x:c r="Q49" s="48"/>
      <x:c r="R49" s="48"/>
      <x:c r="S49" s="48"/>
      <x:c r="T49" s="33" t="n">
        <x:f>COUNTIF('품목 정답'!$A$5:$A$234,A49)</x:f>
        <x:v>5</x:v>
      </x:c>
      <x:c r="U49" s="33" t="str">
        <x:v>다온누리병원 대상 레이저장비 견적. 견적일 2026-09-04, 총액 12,220,000원(VAT 포함), 품목 5행.</x:v>
      </x:c>
      <x:c r="V49" s="33" t="str">
        <x:v>견적서, 다온누리병원, SL-260904-044, 레이저장비, LP200, LP2000, LP1500, LP100, LR-PRO</x:v>
      </x:c>
      <x:c r="W49" s="33" t="str">
        <x:v>p.1: 고객사명·견적일자·유효기간·견적번호·견적합계·품목표</x:v>
      </x:c>
      <x:c r="X49" s="39" t="n">
        <x:f>SUMIF('품목 정답'!$A$5:$A$234,A49,'품목 정답'!$I$5:$I$234)</x:f>
        <x:v>12220000</x:v>
      </x:c>
      <x:c r="Y49" s="33" t="str">
        <x:f>IF(X49=P49,"일치","불일치")</x:f>
        <x:v>일치</x:v>
      </x:c>
      <x:c r="Z49" s="34" t="str">
        <x:v>[검증]</x:v>
      </x:c>
    </x:row>
    <x:row r="50" ht="42" customHeight="1">
      <x:c r="A50" s="32" t="str">
        <x:v>QUOTE-045</x:v>
      </x:c>
      <x:c r="B50" s="33" t="str">
        <x:v>견적서_45.pdf</x:v>
      </x:c>
      <x:c r="C50" s="33" t="str">
        <x:v>PDF</x:v>
      </x:c>
      <x:c r="D50" s="33" t="n">
        <x:v>1</x:v>
      </x:c>
      <x:c r="E50" s="33" t="str">
        <x:v>견적서</x:v>
      </x:c>
      <x:c r="F50" s="33" t="str">
        <x:v>견적서</x:v>
      </x:c>
      <x:c r="G50" s="33" t="str">
        <x:v>열린샘의료원</x:v>
      </x:c>
      <x:c r="H50" s="33"/>
      <x:c r="I50" s="33"/>
      <x:c r="J50" s="42" t="n">
        <x:v>46269</x:v>
      </x:c>
      <x:c r="K50" s="33" t="str">
        <x:v>견적일로부터 30일</x:v>
      </x:c>
      <x:c r="L50" s="33" t="str">
        <x:v>SL-260904-045</x:v>
      </x:c>
      <x:c r="M50" s="33" t="str">
        <x:v>KRW</x:v>
      </x:c>
      <x:c r="N50" s="45"/>
      <x:c r="O50" s="45"/>
      <x:c r="P50" s="39" t="n">
        <x:v>41220000</x:v>
      </x:c>
      <x:c r="Q50" s="48"/>
      <x:c r="R50" s="48"/>
      <x:c r="S50" s="48"/>
      <x:c r="T50" s="33" t="n">
        <x:f>COUNTIF('품목 정답'!$A$5:$A$234,A50)</x:f>
        <x:v>4</x:v>
      </x:c>
      <x:c r="U50" s="33" t="str">
        <x:v>열린샘의료원 대상 레이저장비 견적. 견적일 2026-09-04, 총액 41,220,000원(VAT 포함), 품목 4행.</x:v>
      </x:c>
      <x:c r="V50" s="33" t="str">
        <x:v>견적서, 열린샘의료원, SL-260904-045, 레이저장비, LR-PRO, LR-CORE3, LP200, LR-CORE1</x:v>
      </x:c>
      <x:c r="W50" s="33" t="str">
        <x:v>p.1: 고객사명·견적일자·유효기간·견적번호·견적합계·품목표</x:v>
      </x:c>
      <x:c r="X50" s="39" t="n">
        <x:f>SUMIF('품목 정답'!$A$5:$A$234,A50,'품목 정답'!$I$5:$I$234)</x:f>
        <x:v>41220000</x:v>
      </x:c>
      <x:c r="Y50" s="33" t="str">
        <x:f>IF(X50=P50,"일치","불일치")</x:f>
        <x:v>일치</x:v>
      </x:c>
      <x:c r="Z50" s="34" t="str">
        <x:v>[검증]</x:v>
      </x:c>
    </x:row>
    <x:row r="51" ht="42" customHeight="1">
      <x:c r="A51" s="32" t="str">
        <x:v>QUOTE-046</x:v>
      </x:c>
      <x:c r="B51" s="33" t="str">
        <x:v>견적서_46.pdf</x:v>
      </x:c>
      <x:c r="C51" s="33" t="str">
        <x:v>PDF</x:v>
      </x:c>
      <x:c r="D51" s="33" t="n">
        <x:v>1</x:v>
      </x:c>
      <x:c r="E51" s="33" t="str">
        <x:v>견적서</x:v>
      </x:c>
      <x:c r="F51" s="33" t="str">
        <x:v>견적서</x:v>
      </x:c>
      <x:c r="G51" s="33" t="str">
        <x:v>이로운병원</x:v>
      </x:c>
      <x:c r="H51" s="33"/>
      <x:c r="I51" s="33"/>
      <x:c r="J51" s="42" t="n">
        <x:v>46269</x:v>
      </x:c>
      <x:c r="K51" s="33" t="str">
        <x:v>견적일로부터 30일</x:v>
      </x:c>
      <x:c r="L51" s="33" t="str">
        <x:v>SL-260904-046</x:v>
      </x:c>
      <x:c r="M51" s="33" t="str">
        <x:v>KRW</x:v>
      </x:c>
      <x:c r="N51" s="45"/>
      <x:c r="O51" s="45"/>
      <x:c r="P51" s="39" t="n">
        <x:v>11010000</x:v>
      </x:c>
      <x:c r="Q51" s="48"/>
      <x:c r="R51" s="48"/>
      <x:c r="S51" s="48"/>
      <x:c r="T51" s="33" t="n">
        <x:f>COUNTIF('품목 정답'!$A$5:$A$234,A51)</x:f>
        <x:v>3</x:v>
      </x:c>
      <x:c r="U51" s="33" t="str">
        <x:v>이로운병원 대상 레이저장비 견적. 견적일 2026-09-04, 총액 11,010,000원(VAT 포함), 품목 3행.</x:v>
      </x:c>
      <x:c r="V51" s="33" t="str">
        <x:v>견적서, 이로운병원, SL-260904-046, 레이저장비, LP1500, LR-PRO, LP200</x:v>
      </x:c>
      <x:c r="W51" s="33" t="str">
        <x:v>p.1: 고객사명·견적일자·유효기간·견적번호·견적합계·품목표</x:v>
      </x:c>
      <x:c r="X51" s="39" t="n">
        <x:f>SUMIF('품목 정답'!$A$5:$A$234,A51,'품목 정답'!$I$5:$I$234)</x:f>
        <x:v>11010000</x:v>
      </x:c>
      <x:c r="Y51" s="33" t="str">
        <x:f>IF(X51=P51,"일치","불일치")</x:f>
        <x:v>일치</x:v>
      </x:c>
      <x:c r="Z51" s="34" t="str">
        <x:v>[검증]</x:v>
      </x:c>
    </x:row>
    <x:row r="52" ht="42" customHeight="1">
      <x:c r="A52" s="32" t="str">
        <x:v>QUOTE-047</x:v>
      </x:c>
      <x:c r="B52" s="33" t="str">
        <x:v>견적서_47.pdf</x:v>
      </x:c>
      <x:c r="C52" s="33" t="str">
        <x:v>PDF</x:v>
      </x:c>
      <x:c r="D52" s="33" t="n">
        <x:v>1</x:v>
      </x:c>
      <x:c r="E52" s="33" t="str">
        <x:v>견적서</x:v>
      </x:c>
      <x:c r="F52" s="33" t="str">
        <x:v>견적서</x:v>
      </x:c>
      <x:c r="G52" s="33" t="str">
        <x:v>새봄빛병원</x:v>
      </x:c>
      <x:c r="H52" s="33"/>
      <x:c r="I52" s="33"/>
      <x:c r="J52" s="42" t="n">
        <x:v>46269</x:v>
      </x:c>
      <x:c r="K52" s="33" t="str">
        <x:v>견적일로부터 30일</x:v>
      </x:c>
      <x:c r="L52" s="33" t="str">
        <x:v>SL-260904-047</x:v>
      </x:c>
      <x:c r="M52" s="33" t="str">
        <x:v>KRW</x:v>
      </x:c>
      <x:c r="N52" s="45"/>
      <x:c r="O52" s="45"/>
      <x:c r="P52" s="39" t="n">
        <x:v>27850000</x:v>
      </x:c>
      <x:c r="Q52" s="48"/>
      <x:c r="R52" s="48"/>
      <x:c r="S52" s="48"/>
      <x:c r="T52" s="33" t="n">
        <x:f>COUNTIF('품목 정답'!$A$5:$A$234,A52)</x:f>
        <x:v>6</x:v>
      </x:c>
      <x:c r="U52" s="33" t="str">
        <x:v>새봄빛병원 대상 레이저장비 견적. 견적일 2026-09-04, 총액 27,850,000원(VAT 포함), 품목 6행.</x:v>
      </x:c>
      <x:c r="V52" s="33" t="str">
        <x:v>견적서, 새봄빛병원, SL-260904-047, 레이저장비, LR-CORE2, LP1000, LP200, LP100, LR-CORE3, LR1000</x:v>
      </x:c>
      <x:c r="W52" s="33" t="str">
        <x:v>p.1: 고객사명·견적일자·유효기간·견적번호·견적합계·품목표</x:v>
      </x:c>
      <x:c r="X52" s="39" t="n">
        <x:f>SUMIF('품목 정답'!$A$5:$A$234,A52,'품목 정답'!$I$5:$I$234)</x:f>
        <x:v>27850000</x:v>
      </x:c>
      <x:c r="Y52" s="33" t="str">
        <x:f>IF(X52=P52,"일치","불일치")</x:f>
        <x:v>일치</x:v>
      </x:c>
      <x:c r="Z52" s="34" t="str">
        <x:v>[검증]</x:v>
      </x:c>
    </x:row>
    <x:row r="53" ht="42" customHeight="1">
      <x:c r="A53" s="32" t="str">
        <x:v>QUOTE-048</x:v>
      </x:c>
      <x:c r="B53" s="33" t="str">
        <x:v>견적서_48.pdf</x:v>
      </x:c>
      <x:c r="C53" s="33" t="str">
        <x:v>PDF</x:v>
      </x:c>
      <x:c r="D53" s="33" t="n">
        <x:v>1</x:v>
      </x:c>
      <x:c r="E53" s="33" t="str">
        <x:v>견적서</x:v>
      </x:c>
      <x:c r="F53" s="33" t="str">
        <x:v>견적서</x:v>
      </x:c>
      <x:c r="G53" s="33" t="str">
        <x:v>한솔종합병원</x:v>
      </x:c>
      <x:c r="H53" s="33"/>
      <x:c r="I53" s="33"/>
      <x:c r="J53" s="42" t="n">
        <x:v>46269</x:v>
      </x:c>
      <x:c r="K53" s="33" t="str">
        <x:v>견적일로부터 30일</x:v>
      </x:c>
      <x:c r="L53" s="33" t="str">
        <x:v>SL-260904-048</x:v>
      </x:c>
      <x:c r="M53" s="33" t="str">
        <x:v>KRW</x:v>
      </x:c>
      <x:c r="N53" s="45"/>
      <x:c r="O53" s="45"/>
      <x:c r="P53" s="39" t="n">
        <x:v>22255000</x:v>
      </x:c>
      <x:c r="Q53" s="48"/>
      <x:c r="R53" s="48"/>
      <x:c r="S53" s="48"/>
      <x:c r="T53" s="33" t="n">
        <x:f>COUNTIF('품목 정답'!$A$5:$A$234,A53)</x:f>
        <x:v>5</x:v>
      </x:c>
      <x:c r="U53" s="33" t="str">
        <x:v>한솔종합병원 대상 레이저장비 견적. 견적일 2026-09-04, 총액 22,255,000원(VAT 포함), 품목 5행.</x:v>
      </x:c>
      <x:c r="V53" s="33" t="str">
        <x:v>견적서, 한솔종합병원, SL-260904-048, 레이저장비, LP1000, LR2000, LP1500, LP100, LP2000</x:v>
      </x:c>
      <x:c r="W53" s="33" t="str">
        <x:v>p.1: 고객사명·견적일자·유효기간·견적번호·견적합계·품목표</x:v>
      </x:c>
      <x:c r="X53" s="39" t="n">
        <x:f>SUMIF('품목 정답'!$A$5:$A$234,A53,'품목 정답'!$I$5:$I$234)</x:f>
        <x:v>22255000</x:v>
      </x:c>
      <x:c r="Y53" s="33" t="str">
        <x:f>IF(X53=P53,"일치","불일치")</x:f>
        <x:v>일치</x:v>
      </x:c>
      <x:c r="Z53" s="34" t="str">
        <x:v>[검증]</x:v>
      </x:c>
    </x:row>
    <x:row r="54" ht="42" customHeight="1">
      <x:c r="A54" s="32" t="str">
        <x:v>QUOTE-049</x:v>
      </x:c>
      <x:c r="B54" s="33" t="str">
        <x:v>견적서_49.pdf</x:v>
      </x:c>
      <x:c r="C54" s="33" t="str">
        <x:v>PDF</x:v>
      </x:c>
      <x:c r="D54" s="33" t="n">
        <x:v>1</x:v>
      </x:c>
      <x:c r="E54" s="33" t="str">
        <x:v>견적서</x:v>
      </x:c>
      <x:c r="F54" s="33" t="str">
        <x:v>견적서</x:v>
      </x:c>
      <x:c r="G54" s="33" t="str">
        <x:v>온정의료원</x:v>
      </x:c>
      <x:c r="H54" s="33"/>
      <x:c r="I54" s="33"/>
      <x:c r="J54" s="42" t="n">
        <x:v>46269</x:v>
      </x:c>
      <x:c r="K54" s="33" t="str">
        <x:v>견적일로부터 30일</x:v>
      </x:c>
      <x:c r="L54" s="33" t="str">
        <x:v>SL-260904-049</x:v>
      </x:c>
      <x:c r="M54" s="33" t="str">
        <x:v>KRW</x:v>
      </x:c>
      <x:c r="N54" s="45"/>
      <x:c r="O54" s="45"/>
      <x:c r="P54" s="39" t="n">
        <x:v>19720000</x:v>
      </x:c>
      <x:c r="Q54" s="48"/>
      <x:c r="R54" s="48"/>
      <x:c r="S54" s="48"/>
      <x:c r="T54" s="33" t="n">
        <x:f>COUNTIF('품목 정답'!$A$5:$A$234,A54)</x:f>
        <x:v>5</x:v>
      </x:c>
      <x:c r="U54" s="33" t="str">
        <x:v>온정의료원 대상 레이저장비 견적. 견적일 2026-09-04, 총액 19,720,000원(VAT 포함), 품목 5행.</x:v>
      </x:c>
      <x:c r="V54" s="33" t="str">
        <x:v>견적서, 온정의료원, SL-260904-049, 레이저장비, LP2000, LR-CORE1, LP200, LR2000, LP1000</x:v>
      </x:c>
      <x:c r="W54" s="33" t="str">
        <x:v>p.1: 고객사명·견적일자·유효기간·견적번호·견적합계·품목표</x:v>
      </x:c>
      <x:c r="X54" s="39" t="n">
        <x:f>SUMIF('품목 정답'!$A$5:$A$234,A54,'품목 정답'!$I$5:$I$234)</x:f>
        <x:v>19720000</x:v>
      </x:c>
      <x:c r="Y54" s="33" t="str">
        <x:f>IF(X54=P54,"일치","불일치")</x:f>
        <x:v>일치</x:v>
      </x:c>
      <x:c r="Z54" s="34" t="str">
        <x:v>[검증]</x:v>
      </x:c>
    </x:row>
    <x:row r="55" ht="42" customHeight="1">
      <x:c r="A55" s="35" t="str">
        <x:v>QUOTE-050</x:v>
      </x:c>
      <x:c r="B55" s="36" t="str">
        <x:v>견적서_50.pdf</x:v>
      </x:c>
      <x:c r="C55" s="36" t="str">
        <x:v>PDF</x:v>
      </x:c>
      <x:c r="D55" s="36" t="n">
        <x:v>1</x:v>
      </x:c>
      <x:c r="E55" s="36" t="str">
        <x:v>견적서</x:v>
      </x:c>
      <x:c r="F55" s="36" t="str">
        <x:v>견적서</x:v>
      </x:c>
      <x:c r="G55" s="36" t="str">
        <x:v>푸른결병원</x:v>
      </x:c>
      <x:c r="H55" s="36"/>
      <x:c r="I55" s="36"/>
      <x:c r="J55" s="43" t="n">
        <x:v>46269</x:v>
      </x:c>
      <x:c r="K55" s="36" t="str">
        <x:v>견적일로부터 30일</x:v>
      </x:c>
      <x:c r="L55" s="36" t="str">
        <x:v>SL-260904-050</x:v>
      </x:c>
      <x:c r="M55" s="36" t="str">
        <x:v>KRW</x:v>
      </x:c>
      <x:c r="N55" s="46"/>
      <x:c r="O55" s="46"/>
      <x:c r="P55" s="40" t="n">
        <x:v>22610000</x:v>
      </x:c>
      <x:c r="Q55" s="49"/>
      <x:c r="R55" s="49"/>
      <x:c r="S55" s="49"/>
      <x:c r="T55" s="36" t="n">
        <x:f>COUNTIF('품목 정답'!$A$5:$A$234,A55)</x:f>
        <x:v>6</x:v>
      </x:c>
      <x:c r="U55" s="36" t="str">
        <x:v>푸른결병원 대상 레이저장비 견적. 견적일 2026-09-04, 총액 22,610,000원(VAT 포함), 품목 6행.</x:v>
      </x:c>
      <x:c r="V55" s="36" t="str">
        <x:v>견적서, 푸른결병원, SL-260904-050, 레이저장비, LR-CORE2, LR2000, LR-CORE3, LP1500, LP200, LR-CORE1</x:v>
      </x:c>
      <x:c r="W55" s="36" t="str">
        <x:v>p.1: 고객사명·견적일자·유효기간·견적번호·견적합계·품목표</x:v>
      </x:c>
      <x:c r="X55" s="40" t="n">
        <x:f>SUMIF('품목 정답'!$A$5:$A$234,A55,'품목 정답'!$I$5:$I$234)</x:f>
        <x:v>22610000</x:v>
      </x:c>
      <x:c r="Y55" s="36" t="str">
        <x:f>IF(X55=P55,"일치","불일치")</x:f>
        <x:v>일치</x:v>
      </x:c>
      <x:c r="Z55" s="37" t="str">
        <x:v>[검증]</x:v>
      </x:c>
    </x:row>
  </x:sheetData>
  <x:conditionalFormatting sqref="Y6:Y55">
    <x:cfRule type="containsText" dxfId="0" priority="1" operator="containsText" text="불일치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8" hidden="0" customWidth="1"/>
    <x:col min="4" max="4" width="14" hidden="0" customWidth="1"/>
    <x:col min="5" max="5" width="12" hidden="0" customWidth="1"/>
    <x:col min="6" max="6" width="8" hidden="0" customWidth="1"/>
    <x:col min="7" max="7" width="9" hidden="0" customWidth="1"/>
    <x:col min="8" max="8" width="14" hidden="0" customWidth="1"/>
    <x:col min="9" max="9" width="14" hidden="0" customWidth="1"/>
    <x:col min="10" max="10" width="14" hidden="0" customWidth="1"/>
    <x:col min="11" max="11" width="12" hidden="0" customWidth="1"/>
    <x:col min="12" max="12" width="16" hidden="0" customWidth="1"/>
    <x:col min="13" max="13" width="18" hidden="0" customWidth="1"/>
  </x:cols>
  <x:sheetData>
    <x:row r="1" ht="24" customHeight="1">
      <x:c r="A1" s="3" t="str">
        <x:v>견적서 품목 정답지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4" customHeight="1">
      <x:c r="A2" s="4" t="str">
        <x:v>원문 품목표 230행 / 금액 검산식: 수량 × 단가 = 금액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32" customHeight="1">
      <x:c r="A4" s="18" t="str">
        <x:v>문서 ID</x:v>
      </x:c>
      <x:c r="B4" s="19" t="str">
        <x:v>파일명</x:v>
      </x:c>
      <x:c r="C4" s="19" t="str">
        <x:v>순번</x:v>
      </x:c>
      <x:c r="D4" s="19" t="str">
        <x:v>품명</x:v>
      </x:c>
      <x:c r="E4" s="19" t="str">
        <x:v>규격</x:v>
      </x:c>
      <x:c r="F4" s="19" t="str">
        <x:v>단위</x:v>
      </x:c>
      <x:c r="G4" s="19" t="str">
        <x:v>수량</x:v>
      </x:c>
      <x:c r="H4" s="19" t="str">
        <x:v>단가(KRW)</x:v>
      </x:c>
      <x:c r="I4" s="19" t="str">
        <x:v>금액(KRW)</x:v>
      </x:c>
      <x:c r="J4" s="19" t="str">
        <x:v>금액 검산</x:v>
      </x:c>
      <x:c r="K4" s="19" t="str">
        <x:v>검산 판정</x:v>
      </x:c>
      <x:c r="L4" s="19" t="str">
        <x:v>비고</x:v>
      </x:c>
      <x:c r="M4" s="20" t="str">
        <x:v>원문 근거</x:v>
      </x:c>
    </x:row>
    <x:row r="5" ht="24" customHeight="1">
      <x:c r="A5" s="29" t="str">
        <x:v>QUOTE-001</x:v>
      </x:c>
      <x:c r="B5" s="30" t="str">
        <x:v>견적서_1.pdf</x:v>
      </x:c>
      <x:c r="C5" s="30" t="n">
        <x:v>1</x:v>
      </x:c>
      <x:c r="D5" s="30" t="str">
        <x:v>LP2000</x:v>
      </x:c>
      <x:c r="E5" s="30" t="str">
        <x:v>프로브</x:v>
      </x:c>
      <x:c r="F5" s="30" t="str">
        <x:v>EA</x:v>
      </x:c>
      <x:c r="G5" s="38" t="n">
        <x:v>9</x:v>
      </x:c>
      <x:c r="H5" s="38" t="n">
        <x:v>175000</x:v>
      </x:c>
      <x:c r="I5" s="38" t="n">
        <x:v>1575000</x:v>
      </x:c>
      <x:c r="J5" s="38" t="n">
        <x:f>G5*H5</x:f>
        <x:v>1575000</x:v>
      </x:c>
      <x:c r="K5" s="30" t="str">
        <x:f>IF(I5=J5,"일치","불일치")</x:f>
        <x:v>일치</x:v>
      </x:c>
      <x:c r="L5" s="30" t="str">
        <x:v>기본 소모품</x:v>
      </x:c>
      <x:c r="M5" s="31" t="str">
        <x:v>p.1 품목표</x:v>
      </x:c>
    </x:row>
    <x:row r="6" ht="24" customHeight="1">
      <x:c r="A6" s="32" t="str">
        <x:v>QUOTE-001</x:v>
      </x:c>
      <x:c r="B6" s="33" t="str">
        <x:v>견적서_1.pdf</x:v>
      </x:c>
      <x:c r="C6" s="33" t="n">
        <x:v>2</x:v>
      </x:c>
      <x:c r="D6" s="33" t="str">
        <x:v>LR-CORE2</x:v>
      </x:c>
      <x:c r="E6" s="33" t="str">
        <x:v>액세서리</x:v>
      </x:c>
      <x:c r="F6" s="33" t="str">
        <x:v>EA</x:v>
      </x:c>
      <x:c r="G6" s="39" t="n">
        <x:v>4</x:v>
      </x:c>
      <x:c r="H6" s="39" t="n">
        <x:v>4800000</x:v>
      </x:c>
      <x:c r="I6" s="39" t="n">
        <x:v>19200000</x:v>
      </x:c>
      <x:c r="J6" s="39" t="n">
        <x:f>G6*H6</x:f>
        <x:v>19200000</x:v>
      </x:c>
      <x:c r="K6" s="33" t="str">
        <x:f>IF(I6=J6,"일치","불일치")</x:f>
        <x:v>일치</x:v>
      </x:c>
      <x:c r="L6" s="33" t="str">
        <x:v>확장 구성</x:v>
      </x:c>
      <x:c r="M6" s="34" t="str">
        <x:v>p.1 품목표</x:v>
      </x:c>
    </x:row>
    <x:row r="7" ht="24" customHeight="1">
      <x:c r="A7" s="32" t="str">
        <x:v>QUOTE-001</x:v>
      </x:c>
      <x:c r="B7" s="33" t="str">
        <x:v>견적서_1.pdf</x:v>
      </x:c>
      <x:c r="C7" s="33" t="n">
        <x:v>3</x:v>
      </x:c>
      <x:c r="D7" s="33" t="str">
        <x:v>LR1000</x:v>
      </x:c>
      <x:c r="E7" s="33" t="str">
        <x:v>시스템</x:v>
      </x:c>
      <x:c r="F7" s="33" t="str">
        <x:v>EA</x:v>
      </x:c>
      <x:c r="G7" s="39" t="n">
        <x:v>2</x:v>
      </x:c>
      <x:c r="H7" s="39" t="n">
        <x:v>4500000</x:v>
      </x:c>
      <x:c r="I7" s="39" t="n">
        <x:v>9000000</x:v>
      </x:c>
      <x:c r="J7" s="39" t="n">
        <x:f>G7*H7</x:f>
        <x:v>9000000</x:v>
      </x:c>
      <x:c r="K7" s="33" t="str">
        <x:f>IF(I7=J7,"일치","불일치")</x:f>
        <x:v>일치</x:v>
      </x:c>
      <x:c r="L7" s="33" t="str">
        <x:v>기본 구성</x:v>
      </x:c>
      <x:c r="M7" s="34" t="str">
        <x:v>p.1 품목표</x:v>
      </x:c>
    </x:row>
    <x:row r="8" ht="24" customHeight="1">
      <x:c r="A8" s="32" t="str">
        <x:v>QUOTE-001</x:v>
      </x:c>
      <x:c r="B8" s="33" t="str">
        <x:v>견적서_1.pdf</x:v>
      </x:c>
      <x:c r="C8" s="33" t="n">
        <x:v>4</x:v>
      </x:c>
      <x:c r="D8" s="33" t="str">
        <x:v>LP100</x:v>
      </x:c>
      <x:c r="E8" s="33" t="str">
        <x:v>부품</x:v>
      </x:c>
      <x:c r="F8" s="33" t="str">
        <x:v>EA</x:v>
      </x:c>
      <x:c r="G8" s="39" t="n">
        <x:v>7</x:v>
      </x:c>
      <x:c r="H8" s="39" t="n">
        <x:v>180000</x:v>
      </x:c>
      <x:c r="I8" s="39" t="n">
        <x:v>1260000</x:v>
      </x:c>
      <x:c r="J8" s="39" t="n">
        <x:f>G8*H8</x:f>
        <x:v>1260000</x:v>
      </x:c>
      <x:c r="K8" s="33" t="str">
        <x:f>IF(I8=J8,"일치","불일치")</x:f>
        <x:v>일치</x:v>
      </x:c>
      <x:c r="L8" s="33" t="str">
        <x:v>교체용</x:v>
      </x:c>
      <x:c r="M8" s="34" t="str">
        <x:v>p.1 품목표</x:v>
      </x:c>
    </x:row>
    <x:row r="9" ht="24" customHeight="1">
      <x:c r="A9" s="32" t="str">
        <x:v>QUOTE-002</x:v>
      </x:c>
      <x:c r="B9" s="33" t="str">
        <x:v>견적서_2.pdf</x:v>
      </x:c>
      <x:c r="C9" s="33" t="n">
        <x:v>1</x:v>
      </x:c>
      <x:c r="D9" s="33" t="str">
        <x:v>LR-CORE2</x:v>
      </x:c>
      <x:c r="E9" s="33" t="str">
        <x:v>액세서리</x:v>
      </x:c>
      <x:c r="F9" s="33" t="str">
        <x:v>EA</x:v>
      </x:c>
      <x:c r="G9" s="39" t="n">
        <x:v>4</x:v>
      </x:c>
      <x:c r="H9" s="39" t="n">
        <x:v>4800000</x:v>
      </x:c>
      <x:c r="I9" s="39" t="n">
        <x:v>19200000</x:v>
      </x:c>
      <x:c r="J9" s="39" t="n">
        <x:f>G9*H9</x:f>
        <x:v>19200000</x:v>
      </x:c>
      <x:c r="K9" s="33" t="str">
        <x:f>IF(I9=J9,"일치","불일치")</x:f>
        <x:v>일치</x:v>
      </x:c>
      <x:c r="L9" s="33" t="str">
        <x:v>확장 구성</x:v>
      </x:c>
      <x:c r="M9" s="34" t="str">
        <x:v>p.1 품목표</x:v>
      </x:c>
    </x:row>
    <x:row r="10" ht="24" customHeight="1">
      <x:c r="A10" s="32" t="str">
        <x:v>QUOTE-002</x:v>
      </x:c>
      <x:c r="B10" s="33" t="str">
        <x:v>견적서_2.pdf</x:v>
      </x:c>
      <x:c r="C10" s="33" t="n">
        <x:v>2</x:v>
      </x:c>
      <x:c r="D10" s="33" t="str">
        <x:v>LP2000</x:v>
      </x:c>
      <x:c r="E10" s="33" t="str">
        <x:v>프로브</x:v>
      </x:c>
      <x:c r="F10" s="33" t="str">
        <x:v>EA</x:v>
      </x:c>
      <x:c r="G10" s="39" t="n">
        <x:v>16</x:v>
      </x:c>
      <x:c r="H10" s="39" t="n">
        <x:v>175000</x:v>
      </x:c>
      <x:c r="I10" s="39" t="n">
        <x:v>2800000</x:v>
      </x:c>
      <x:c r="J10" s="39" t="n">
        <x:f>G10*H10</x:f>
        <x:v>2800000</x:v>
      </x:c>
      <x:c r="K10" s="33" t="str">
        <x:f>IF(I10=J10,"일치","불일치")</x:f>
        <x:v>일치</x:v>
      </x:c>
      <x:c r="L10" s="33" t="str">
        <x:v>기본 소모품</x:v>
      </x:c>
      <x:c r="M10" s="34" t="str">
        <x:v>p.1 품목표</x:v>
      </x:c>
    </x:row>
    <x:row r="11" ht="24" customHeight="1">
      <x:c r="A11" s="32" t="str">
        <x:v>QUOTE-002</x:v>
      </x:c>
      <x:c r="B11" s="33" t="str">
        <x:v>견적서_2.pdf</x:v>
      </x:c>
      <x:c r="C11" s="33" t="n">
        <x:v>3</x:v>
      </x:c>
      <x:c r="D11" s="33" t="str">
        <x:v>LR1000</x:v>
      </x:c>
      <x:c r="E11" s="33" t="str">
        <x:v>시스템</x:v>
      </x:c>
      <x:c r="F11" s="33" t="str">
        <x:v>EA</x:v>
      </x:c>
      <x:c r="G11" s="39" t="n">
        <x:v>3</x:v>
      </x:c>
      <x:c r="H11" s="39" t="n">
        <x:v>4500000</x:v>
      </x:c>
      <x:c r="I11" s="39" t="n">
        <x:v>13500000</x:v>
      </x:c>
      <x:c r="J11" s="39" t="n">
        <x:f>G11*H11</x:f>
        <x:v>13500000</x:v>
      </x:c>
      <x:c r="K11" s="33" t="str">
        <x:f>IF(I11=J11,"일치","불일치")</x:f>
        <x:v>일치</x:v>
      </x:c>
      <x:c r="L11" s="33" t="str">
        <x:v>기본 구성</x:v>
      </x:c>
      <x:c r="M11" s="34" t="str">
        <x:v>p.1 품목표</x:v>
      </x:c>
    </x:row>
    <x:row r="12" ht="24" customHeight="1">
      <x:c r="A12" s="32" t="str">
        <x:v>QUOTE-002</x:v>
      </x:c>
      <x:c r="B12" s="33" t="str">
        <x:v>견적서_2.pdf</x:v>
      </x:c>
      <x:c r="C12" s="33" t="n">
        <x:v>4</x:v>
      </x:c>
      <x:c r="D12" s="33" t="str">
        <x:v>LP1000</x:v>
      </x:c>
      <x:c r="E12" s="33" t="str">
        <x:v>프로브</x:v>
      </x:c>
      <x:c r="F12" s="33" t="str">
        <x:v>EA</x:v>
      </x:c>
      <x:c r="G12" s="39" t="n">
        <x:v>17</x:v>
      </x:c>
      <x:c r="H12" s="39" t="n">
        <x:v>130000</x:v>
      </x:c>
      <x:c r="I12" s="39" t="n">
        <x:v>2210000</x:v>
      </x:c>
      <x:c r="J12" s="39" t="n">
        <x:f>G12*H12</x:f>
        <x:v>2210000</x:v>
      </x:c>
      <x:c r="K12" s="33" t="str">
        <x:f>IF(I12=J12,"일치","불일치")</x:f>
        <x:v>일치</x:v>
      </x:c>
      <x:c r="L12" s="33" t="str">
        <x:v>현장 사용</x:v>
      </x:c>
      <x:c r="M12" s="34" t="str">
        <x:v>p.1 품목표</x:v>
      </x:c>
    </x:row>
    <x:row r="13" ht="24" customHeight="1">
      <x:c r="A13" s="32" t="str">
        <x:v>QUOTE-002</x:v>
      </x:c>
      <x:c r="B13" s="33" t="str">
        <x:v>견적서_2.pdf</x:v>
      </x:c>
      <x:c r="C13" s="33" t="n">
        <x:v>5</x:v>
      </x:c>
      <x:c r="D13" s="33" t="str">
        <x:v>LP1500</x:v>
      </x:c>
      <x:c r="E13" s="33" t="str">
        <x:v>프로브</x:v>
      </x:c>
      <x:c r="F13" s="33" t="str">
        <x:v>EA</x:v>
      </x:c>
      <x:c r="G13" s="39" t="n">
        <x:v>8</x:v>
      </x:c>
      <x:c r="H13" s="39" t="n">
        <x:v>145000</x:v>
      </x:c>
      <x:c r="I13" s="39" t="n">
        <x:v>1160000</x:v>
      </x:c>
      <x:c r="J13" s="39" t="n">
        <x:f>G13*H13</x:f>
        <x:v>1160000</x:v>
      </x:c>
      <x:c r="K13" s="33" t="str">
        <x:f>IF(I13=J13,"일치","불일치")</x:f>
        <x:v>일치</x:v>
      </x:c>
      <x:c r="L13" s="33" t="str">
        <x:v>기본 소모품</x:v>
      </x:c>
      <x:c r="M13" s="34" t="str">
        <x:v>p.1 품목표</x:v>
      </x:c>
    </x:row>
    <x:row r="14" ht="24" customHeight="1">
      <x:c r="A14" s="32" t="str">
        <x:v>QUOTE-002</x:v>
      </x:c>
      <x:c r="B14" s="33" t="str">
        <x:v>견적서_2.pdf</x:v>
      </x:c>
      <x:c r="C14" s="33" t="n">
        <x:v>6</x:v>
      </x:c>
      <x:c r="D14" s="33" t="str">
        <x:v>LP200</x:v>
      </x:c>
      <x:c r="E14" s="33" t="str">
        <x:v>부품</x:v>
      </x:c>
      <x:c r="F14" s="33" t="str">
        <x:v>EA</x:v>
      </x:c>
      <x:c r="G14" s="39" t="n">
        <x:v>7</x:v>
      </x:c>
      <x:c r="H14" s="39" t="n">
        <x:v>240000</x:v>
      </x:c>
      <x:c r="I14" s="39" t="n">
        <x:v>1680000</x:v>
      </x:c>
      <x:c r="J14" s="39" t="n">
        <x:f>G14*H14</x:f>
        <x:v>1680000</x:v>
      </x:c>
      <x:c r="K14" s="33" t="str">
        <x:f>IF(I14=J14,"일치","불일치")</x:f>
        <x:v>일치</x:v>
      </x:c>
      <x:c r="L14" s="33" t="str">
        <x:v>교체용</x:v>
      </x:c>
      <x:c r="M14" s="34" t="str">
        <x:v>p.1 품목표</x:v>
      </x:c>
    </x:row>
    <x:row r="15" ht="24" customHeight="1">
      <x:c r="A15" s="32" t="str">
        <x:v>QUOTE-003</x:v>
      </x:c>
      <x:c r="B15" s="33" t="str">
        <x:v>견적서_3.pdf</x:v>
      </x:c>
      <x:c r="C15" s="33" t="n">
        <x:v>1</x:v>
      </x:c>
      <x:c r="D15" s="33" t="str">
        <x:v>LP200</x:v>
      </x:c>
      <x:c r="E15" s="33" t="str">
        <x:v>부품</x:v>
      </x:c>
      <x:c r="F15" s="33" t="str">
        <x:v>EA</x:v>
      </x:c>
      <x:c r="G15" s="39" t="n">
        <x:v>6</x:v>
      </x:c>
      <x:c r="H15" s="39" t="n">
        <x:v>240000</x:v>
      </x:c>
      <x:c r="I15" s="39" t="n">
        <x:v>1440000</x:v>
      </x:c>
      <x:c r="J15" s="39" t="n">
        <x:f>G15*H15</x:f>
        <x:v>1440000</x:v>
      </x:c>
      <x:c r="K15" s="33" t="str">
        <x:f>IF(I15=J15,"일치","불일치")</x:f>
        <x:v>일치</x:v>
      </x:c>
      <x:c r="L15" s="33" t="str">
        <x:v>유지보수</x:v>
      </x:c>
      <x:c r="M15" s="34" t="str">
        <x:v>p.1 품목표</x:v>
      </x:c>
    </x:row>
    <x:row r="16" ht="24" customHeight="1">
      <x:c r="A16" s="32" t="str">
        <x:v>QUOTE-003</x:v>
      </x:c>
      <x:c r="B16" s="33" t="str">
        <x:v>견적서_3.pdf</x:v>
      </x:c>
      <x:c r="C16" s="33" t="n">
        <x:v>2</x:v>
      </x:c>
      <x:c r="D16" s="33" t="str">
        <x:v>LR2000</x:v>
      </x:c>
      <x:c r="E16" s="33" t="str">
        <x:v>시스템</x:v>
      </x:c>
      <x:c r="F16" s="33" t="str">
        <x:v>EA</x:v>
      </x:c>
      <x:c r="G16" s="39" t="n">
        <x:v>1</x:v>
      </x:c>
      <x:c r="H16" s="39" t="n">
        <x:v>5200000</x:v>
      </x:c>
      <x:c r="I16" s="39" t="n">
        <x:v>5200000</x:v>
      </x:c>
      <x:c r="J16" s="39" t="n">
        <x:f>G16*H16</x:f>
        <x:v>5200000</x:v>
      </x:c>
      <x:c r="K16" s="33" t="str">
        <x:f>IF(I16=J16,"일치","불일치")</x:f>
        <x:v>일치</x:v>
      </x:c>
      <x:c r="L16" s="33" t="str">
        <x:v>운영 구성</x:v>
      </x:c>
      <x:c r="M16" s="34" t="str">
        <x:v>p.1 품목표</x:v>
      </x:c>
    </x:row>
    <x:row r="17" ht="24" customHeight="1">
      <x:c r="A17" s="32" t="str">
        <x:v>QUOTE-003</x:v>
      </x:c>
      <x:c r="B17" s="33" t="str">
        <x:v>견적서_3.pdf</x:v>
      </x:c>
      <x:c r="C17" s="33" t="n">
        <x:v>3</x:v>
      </x:c>
      <x:c r="D17" s="33" t="str">
        <x:v>LR-CORE1</x:v>
      </x:c>
      <x:c r="E17" s="33" t="str">
        <x:v>액세서리</x:v>
      </x:c>
      <x:c r="F17" s="33" t="str">
        <x:v>EA</x:v>
      </x:c>
      <x:c r="G17" s="39" t="n">
        <x:v>4</x:v>
      </x:c>
      <x:c r="H17" s="39" t="n">
        <x:v>4200000</x:v>
      </x:c>
      <x:c r="I17" s="39" t="n">
        <x:v>16800000</x:v>
      </x:c>
      <x:c r="J17" s="39" t="n">
        <x:f>G17*H17</x:f>
        <x:v>16800000</x:v>
      </x:c>
      <x:c r="K17" s="33" t="str">
        <x:f>IF(I17=J17,"일치","불일치")</x:f>
        <x:v>일치</x:v>
      </x:c>
      <x:c r="L17" s="33" t="str">
        <x:v>확장 구성</x:v>
      </x:c>
      <x:c r="M17" s="34" t="str">
        <x:v>p.1 품목표</x:v>
      </x:c>
    </x:row>
    <x:row r="18" ht="24" customHeight="1">
      <x:c r="A18" s="32" t="str">
        <x:v>QUOTE-003</x:v>
      </x:c>
      <x:c r="B18" s="33" t="str">
        <x:v>견적서_3.pdf</x:v>
      </x:c>
      <x:c r="C18" s="33" t="n">
        <x:v>4</x:v>
      </x:c>
      <x:c r="D18" s="33" t="str">
        <x:v>LR-CORE3</x:v>
      </x:c>
      <x:c r="E18" s="33" t="str">
        <x:v>액세서리</x:v>
      </x:c>
      <x:c r="F18" s="33" t="str">
        <x:v>EA</x:v>
      </x:c>
      <x:c r="G18" s="39" t="n">
        <x:v>5</x:v>
      </x:c>
      <x:c r="H18" s="39" t="n">
        <x:v>60000</x:v>
      </x:c>
      <x:c r="I18" s="39" t="n">
        <x:v>300000</x:v>
      </x:c>
      <x:c r="J18" s="39" t="n">
        <x:f>G18*H18</x:f>
        <x:v>300000</x:v>
      </x:c>
      <x:c r="K18" s="33" t="str">
        <x:f>IF(I18=J18,"일치","불일치")</x:f>
        <x:v>일치</x:v>
      </x:c>
      <x:c r="L18" s="33" t="str">
        <x:v>현장 구성</x:v>
      </x:c>
      <x:c r="M18" s="34" t="str">
        <x:v>p.1 품목표</x:v>
      </x:c>
    </x:row>
    <x:row r="19" ht="24" customHeight="1">
      <x:c r="A19" s="32" t="str">
        <x:v>QUOTE-004</x:v>
      </x:c>
      <x:c r="B19" s="33" t="str">
        <x:v>견적서_4.pdf</x:v>
      </x:c>
      <x:c r="C19" s="33" t="n">
        <x:v>1</x:v>
      </x:c>
      <x:c r="D19" s="33" t="str">
        <x:v>LP2000</x:v>
      </x:c>
      <x:c r="E19" s="33" t="str">
        <x:v>프로브</x:v>
      </x:c>
      <x:c r="F19" s="33" t="str">
        <x:v>EA</x:v>
      </x:c>
      <x:c r="G19" s="39" t="n">
        <x:v>14</x:v>
      </x:c>
      <x:c r="H19" s="39" t="n">
        <x:v>175000</x:v>
      </x:c>
      <x:c r="I19" s="39" t="n">
        <x:v>2450000</x:v>
      </x:c>
      <x:c r="J19" s="39" t="n">
        <x:f>G19*H19</x:f>
        <x:v>2450000</x:v>
      </x:c>
      <x:c r="K19" s="33" t="str">
        <x:f>IF(I19=J19,"일치","불일치")</x:f>
        <x:v>일치</x:v>
      </x:c>
      <x:c r="L19" s="33" t="str">
        <x:v>추가 구성</x:v>
      </x:c>
      <x:c r="M19" s="34" t="str">
        <x:v>p.1 품목표</x:v>
      </x:c>
    </x:row>
    <x:row r="20" ht="24" customHeight="1">
      <x:c r="A20" s="32" t="str">
        <x:v>QUOTE-004</x:v>
      </x:c>
      <x:c r="B20" s="33" t="str">
        <x:v>견적서_4.pdf</x:v>
      </x:c>
      <x:c r="C20" s="33" t="n">
        <x:v>2</x:v>
      </x:c>
      <x:c r="D20" s="33" t="str">
        <x:v>LR1000</x:v>
      </x:c>
      <x:c r="E20" s="33" t="str">
        <x:v>시스템</x:v>
      </x:c>
      <x:c r="F20" s="33" t="str">
        <x:v>EA</x:v>
      </x:c>
      <x:c r="G20" s="39" t="n">
        <x:v>1</x:v>
      </x:c>
      <x:c r="H20" s="39" t="n">
        <x:v>4500000</x:v>
      </x:c>
      <x:c r="I20" s="39" t="n">
        <x:v>4500000</x:v>
      </x:c>
      <x:c r="J20" s="39" t="n">
        <x:f>G20*H20</x:f>
        <x:v>4500000</x:v>
      </x:c>
      <x:c r="K20" s="33" t="str">
        <x:f>IF(I20=J20,"일치","불일치")</x:f>
        <x:v>일치</x:v>
      </x:c>
      <x:c r="L20" s="33" t="str">
        <x:v>설치 대상</x:v>
      </x:c>
      <x:c r="M20" s="34" t="str">
        <x:v>p.1 품목표</x:v>
      </x:c>
    </x:row>
    <x:row r="21" ht="24" customHeight="1">
      <x:c r="A21" s="32" t="str">
        <x:v>QUOTE-004</x:v>
      </x:c>
      <x:c r="B21" s="33" t="str">
        <x:v>견적서_4.pdf</x:v>
      </x:c>
      <x:c r="C21" s="33" t="n">
        <x:v>3</x:v>
      </x:c>
      <x:c r="D21" s="33" t="str">
        <x:v>LP1500</x:v>
      </x:c>
      <x:c r="E21" s="33" t="str">
        <x:v>프로브</x:v>
      </x:c>
      <x:c r="F21" s="33" t="str">
        <x:v>EA</x:v>
      </x:c>
      <x:c r="G21" s="39" t="n">
        <x:v>10</x:v>
      </x:c>
      <x:c r="H21" s="39" t="n">
        <x:v>145000</x:v>
      </x:c>
      <x:c r="I21" s="39" t="n">
        <x:v>1450000</x:v>
      </x:c>
      <x:c r="J21" s="39" t="n">
        <x:f>G21*H21</x:f>
        <x:v>1450000</x:v>
      </x:c>
      <x:c r="K21" s="33" t="str">
        <x:f>IF(I21=J21,"일치","불일치")</x:f>
        <x:v>일치</x:v>
      </x:c>
      <x:c r="L21" s="33" t="str">
        <x:v>현장 사용</x:v>
      </x:c>
      <x:c r="M21" s="34" t="str">
        <x:v>p.1 품목표</x:v>
      </x:c>
    </x:row>
    <x:row r="22" ht="24" customHeight="1">
      <x:c r="A22" s="32" t="str">
        <x:v>QUOTE-004</x:v>
      </x:c>
      <x:c r="B22" s="33" t="str">
        <x:v>견적서_4.pdf</x:v>
      </x:c>
      <x:c r="C22" s="33" t="n">
        <x:v>4</x:v>
      </x:c>
      <x:c r="D22" s="33" t="str">
        <x:v>LR-CORE1</x:v>
      </x:c>
      <x:c r="E22" s="33" t="str">
        <x:v>액세서리</x:v>
      </x:c>
      <x:c r="F22" s="33" t="str">
        <x:v>EA</x:v>
      </x:c>
      <x:c r="G22" s="39" t="n">
        <x:v>2</x:v>
      </x:c>
      <x:c r="H22" s="39" t="n">
        <x:v>4200000</x:v>
      </x:c>
      <x:c r="I22" s="39" t="n">
        <x:v>8400000</x:v>
      </x:c>
      <x:c r="J22" s="39" t="n">
        <x:f>G22*H22</x:f>
        <x:v>8400000</x:v>
      </x:c>
      <x:c r="K22" s="33" t="str">
        <x:f>IF(I22=J22,"일치","불일치")</x:f>
        <x:v>일치</x:v>
      </x:c>
      <x:c r="L22" s="33" t="str">
        <x:v>현장 구성</x:v>
      </x:c>
      <x:c r="M22" s="34" t="str">
        <x:v>p.1 품목표</x:v>
      </x:c>
    </x:row>
    <x:row r="23" ht="24" customHeight="1">
      <x:c r="A23" s="32" t="str">
        <x:v>QUOTE-005</x:v>
      </x:c>
      <x:c r="B23" s="33" t="str">
        <x:v>견적서_5.pdf</x:v>
      </x:c>
      <x:c r="C23" s="33" t="n">
        <x:v>1</x:v>
      </x:c>
      <x:c r="D23" s="33" t="str">
        <x:v>LP100</x:v>
      </x:c>
      <x:c r="E23" s="33" t="str">
        <x:v>부품</x:v>
      </x:c>
      <x:c r="F23" s="33" t="str">
        <x:v>EA</x:v>
      </x:c>
      <x:c r="G23" s="39" t="n">
        <x:v>6</x:v>
      </x:c>
      <x:c r="H23" s="39" t="n">
        <x:v>180000</x:v>
      </x:c>
      <x:c r="I23" s="39" t="n">
        <x:v>1080000</x:v>
      </x:c>
      <x:c r="J23" s="39" t="n">
        <x:f>G23*H23</x:f>
        <x:v>1080000</x:v>
      </x:c>
      <x:c r="K23" s="33" t="str">
        <x:f>IF(I23=J23,"일치","불일치")</x:f>
        <x:v>일치</x:v>
      </x:c>
      <x:c r="L23" s="33" t="str">
        <x:v>교체용</x:v>
      </x:c>
      <x:c r="M23" s="34" t="str">
        <x:v>p.1 품목표</x:v>
      </x:c>
    </x:row>
    <x:row r="24" ht="24" customHeight="1">
      <x:c r="A24" s="32" t="str">
        <x:v>QUOTE-005</x:v>
      </x:c>
      <x:c r="B24" s="33" t="str">
        <x:v>견적서_5.pdf</x:v>
      </x:c>
      <x:c r="C24" s="33" t="n">
        <x:v>2</x:v>
      </x:c>
      <x:c r="D24" s="33" t="str">
        <x:v>LP2000</x:v>
      </x:c>
      <x:c r="E24" s="33" t="str">
        <x:v>프로브</x:v>
      </x:c>
      <x:c r="F24" s="33" t="str">
        <x:v>EA</x:v>
      </x:c>
      <x:c r="G24" s="39" t="n">
        <x:v>8</x:v>
      </x:c>
      <x:c r="H24" s="39" t="n">
        <x:v>175000</x:v>
      </x:c>
      <x:c r="I24" s="39" t="n">
        <x:v>1400000</x:v>
      </x:c>
      <x:c r="J24" s="39" t="n">
        <x:f>G24*H24</x:f>
        <x:v>1400000</x:v>
      </x:c>
      <x:c r="K24" s="33" t="str">
        <x:f>IF(I24=J24,"일치","불일치")</x:f>
        <x:v>일치</x:v>
      </x:c>
      <x:c r="L24" s="33" t="str">
        <x:v>추가 구성</x:v>
      </x:c>
      <x:c r="M24" s="34" t="str">
        <x:v>p.1 품목표</x:v>
      </x:c>
    </x:row>
    <x:row r="25" ht="24" customHeight="1">
      <x:c r="A25" s="32" t="str">
        <x:v>QUOTE-005</x:v>
      </x:c>
      <x:c r="B25" s="33" t="str">
        <x:v>견적서_5.pdf</x:v>
      </x:c>
      <x:c r="C25" s="33" t="n">
        <x:v>3</x:v>
      </x:c>
      <x:c r="D25" s="33" t="str">
        <x:v>LR1000</x:v>
      </x:c>
      <x:c r="E25" s="33" t="str">
        <x:v>시스템</x:v>
      </x:c>
      <x:c r="F25" s="33" t="str">
        <x:v>EA</x:v>
      </x:c>
      <x:c r="G25" s="39" t="n">
        <x:v>2</x:v>
      </x:c>
      <x:c r="H25" s="39" t="n">
        <x:v>4500000</x:v>
      </x:c>
      <x:c r="I25" s="39" t="n">
        <x:v>9000000</x:v>
      </x:c>
      <x:c r="J25" s="39" t="n">
        <x:f>G25*H25</x:f>
        <x:v>9000000</x:v>
      </x:c>
      <x:c r="K25" s="33" t="str">
        <x:f>IF(I25=J25,"일치","불일치")</x:f>
        <x:v>일치</x:v>
      </x:c>
      <x:c r="L25" s="33" t="str">
        <x:v>설치 대상</x:v>
      </x:c>
      <x:c r="M25" s="34" t="str">
        <x:v>p.1 품목표</x:v>
      </x:c>
    </x:row>
    <x:row r="26" ht="24" customHeight="1">
      <x:c r="A26" s="32" t="str">
        <x:v>QUOTE-006</x:v>
      </x:c>
      <x:c r="B26" s="33" t="str">
        <x:v>견적서_6.pdf</x:v>
      </x:c>
      <x:c r="C26" s="33" t="n">
        <x:v>1</x:v>
      </x:c>
      <x:c r="D26" s="33" t="str">
        <x:v>LR-CORE2</x:v>
      </x:c>
      <x:c r="E26" s="33" t="str">
        <x:v>액세서리</x:v>
      </x:c>
      <x:c r="F26" s="33" t="str">
        <x:v>EA</x:v>
      </x:c>
      <x:c r="G26" s="39" t="n">
        <x:v>5</x:v>
      </x:c>
      <x:c r="H26" s="39" t="n">
        <x:v>4800000</x:v>
      </x:c>
      <x:c r="I26" s="39" t="n">
        <x:v>24000000</x:v>
      </x:c>
      <x:c r="J26" s="39" t="n">
        <x:f>G26*H26</x:f>
        <x:v>24000000</x:v>
      </x:c>
      <x:c r="K26" s="33" t="str">
        <x:f>IF(I26=J26,"일치","불일치")</x:f>
        <x:v>일치</x:v>
      </x:c>
      <x:c r="L26" s="33" t="str">
        <x:v>확장 구성</x:v>
      </x:c>
      <x:c r="M26" s="34" t="str">
        <x:v>p.1 품목표</x:v>
      </x:c>
    </x:row>
    <x:row r="27" ht="24" customHeight="1">
      <x:c r="A27" s="32" t="str">
        <x:v>QUOTE-006</x:v>
      </x:c>
      <x:c r="B27" s="33" t="str">
        <x:v>견적서_6.pdf</x:v>
      </x:c>
      <x:c r="C27" s="33" t="n">
        <x:v>2</x:v>
      </x:c>
      <x:c r="D27" s="33" t="str">
        <x:v>LR-CORE3</x:v>
      </x:c>
      <x:c r="E27" s="33" t="str">
        <x:v>액세서리</x:v>
      </x:c>
      <x:c r="F27" s="33" t="str">
        <x:v>EA</x:v>
      </x:c>
      <x:c r="G27" s="39" t="n">
        <x:v>3</x:v>
      </x:c>
      <x:c r="H27" s="39" t="n">
        <x:v>60000</x:v>
      </x:c>
      <x:c r="I27" s="39" t="n">
        <x:v>180000</x:v>
      </x:c>
      <x:c r="J27" s="39" t="n">
        <x:f>G27*H27</x:f>
        <x:v>180000</x:v>
      </x:c>
      <x:c r="K27" s="33" t="str">
        <x:f>IF(I27=J27,"일치","불일치")</x:f>
        <x:v>일치</x:v>
      </x:c>
      <x:c r="L27" s="33" t="str">
        <x:v>현장 구성</x:v>
      </x:c>
      <x:c r="M27" s="34" t="str">
        <x:v>p.1 품목표</x:v>
      </x:c>
    </x:row>
    <x:row r="28" ht="24" customHeight="1">
      <x:c r="A28" s="32" t="str">
        <x:v>QUOTE-006</x:v>
      </x:c>
      <x:c r="B28" s="33" t="str">
        <x:v>견적서_6.pdf</x:v>
      </x:c>
      <x:c r="C28" s="33" t="n">
        <x:v>3</x:v>
      </x:c>
      <x:c r="D28" s="33" t="str">
        <x:v>LP200</x:v>
      </x:c>
      <x:c r="E28" s="33" t="str">
        <x:v>부품</x:v>
      </x:c>
      <x:c r="F28" s="33" t="str">
        <x:v>EA</x:v>
      </x:c>
      <x:c r="G28" s="39" t="n">
        <x:v>8</x:v>
      </x:c>
      <x:c r="H28" s="39" t="n">
        <x:v>240000</x:v>
      </x:c>
      <x:c r="I28" s="39" t="n">
        <x:v>1920000</x:v>
      </x:c>
      <x:c r="J28" s="39" t="n">
        <x:f>G28*H28</x:f>
        <x:v>1920000</x:v>
      </x:c>
      <x:c r="K28" s="33" t="str">
        <x:f>IF(I28=J28,"일치","불일치")</x:f>
        <x:v>일치</x:v>
      </x:c>
      <x:c r="L28" s="33" t="str">
        <x:v>예비 구성</x:v>
      </x:c>
      <x:c r="M28" s="34" t="str">
        <x:v>p.1 품목표</x:v>
      </x:c>
    </x:row>
    <x:row r="29" ht="24" customHeight="1">
      <x:c r="A29" s="32" t="str">
        <x:v>QUOTE-006</x:v>
      </x:c>
      <x:c r="B29" s="33" t="str">
        <x:v>견적서_6.pdf</x:v>
      </x:c>
      <x:c r="C29" s="33" t="n">
        <x:v>4</x:v>
      </x:c>
      <x:c r="D29" s="33" t="str">
        <x:v>LR2000</x:v>
      </x:c>
      <x:c r="E29" s="33" t="str">
        <x:v>시스템</x:v>
      </x:c>
      <x:c r="F29" s="33" t="str">
        <x:v>EA</x:v>
      </x:c>
      <x:c r="G29" s="39" t="n">
        <x:v>1</x:v>
      </x:c>
      <x:c r="H29" s="39" t="n">
        <x:v>5200000</x:v>
      </x:c>
      <x:c r="I29" s="39" t="n">
        <x:v>5200000</x:v>
      </x:c>
      <x:c r="J29" s="39" t="n">
        <x:f>G29*H29</x:f>
        <x:v>5200000</x:v>
      </x:c>
      <x:c r="K29" s="33" t="str">
        <x:f>IF(I29=J29,"일치","불일치")</x:f>
        <x:v>일치</x:v>
      </x:c>
      <x:c r="L29" s="33" t="str">
        <x:v>기본 구성</x:v>
      </x:c>
      <x:c r="M29" s="34" t="str">
        <x:v>p.1 품목표</x:v>
      </x:c>
    </x:row>
    <x:row r="30" ht="24" customHeight="1">
      <x:c r="A30" s="32" t="str">
        <x:v>QUOTE-007</x:v>
      </x:c>
      <x:c r="B30" s="33" t="str">
        <x:v>견적서_7.pdf</x:v>
      </x:c>
      <x:c r="C30" s="33" t="n">
        <x:v>1</x:v>
      </x:c>
      <x:c r="D30" s="33" t="str">
        <x:v>LP200</x:v>
      </x:c>
      <x:c r="E30" s="33" t="str">
        <x:v>부품</x:v>
      </x:c>
      <x:c r="F30" s="33" t="str">
        <x:v>EA</x:v>
      </x:c>
      <x:c r="G30" s="39" t="n">
        <x:v>8</x:v>
      </x:c>
      <x:c r="H30" s="39" t="n">
        <x:v>240000</x:v>
      </x:c>
      <x:c r="I30" s="39" t="n">
        <x:v>1920000</x:v>
      </x:c>
      <x:c r="J30" s="39" t="n">
        <x:f>G30*H30</x:f>
        <x:v>1920000</x:v>
      </x:c>
      <x:c r="K30" s="33" t="str">
        <x:f>IF(I30=J30,"일치","불일치")</x:f>
        <x:v>일치</x:v>
      </x:c>
      <x:c r="L30" s="33" t="str">
        <x:v>교체용</x:v>
      </x:c>
      <x:c r="M30" s="34" t="str">
        <x:v>p.1 품목표</x:v>
      </x:c>
    </x:row>
    <x:row r="31" ht="24" customHeight="1">
      <x:c r="A31" s="32" t="str">
        <x:v>QUOTE-007</x:v>
      </x:c>
      <x:c r="B31" s="33" t="str">
        <x:v>견적서_7.pdf</x:v>
      </x:c>
      <x:c r="C31" s="33" t="n">
        <x:v>2</x:v>
      </x:c>
      <x:c r="D31" s="33" t="str">
        <x:v>LR-CORE2</x:v>
      </x:c>
      <x:c r="E31" s="33" t="str">
        <x:v>액세서리</x:v>
      </x:c>
      <x:c r="F31" s="33" t="str">
        <x:v>EA</x:v>
      </x:c>
      <x:c r="G31" s="39" t="n">
        <x:v>4</x:v>
      </x:c>
      <x:c r="H31" s="39" t="n">
        <x:v>4800000</x:v>
      </x:c>
      <x:c r="I31" s="39" t="n">
        <x:v>19200000</x:v>
      </x:c>
      <x:c r="J31" s="39" t="n">
        <x:f>G31*H31</x:f>
        <x:v>19200000</x:v>
      </x:c>
      <x:c r="K31" s="33" t="str">
        <x:f>IF(I31=J31,"일치","불일치")</x:f>
        <x:v>일치</x:v>
      </x:c>
      <x:c r="L31" s="33" t="str">
        <x:v>운영 보조</x:v>
      </x:c>
      <x:c r="M31" s="34" t="str">
        <x:v>p.1 품목표</x:v>
      </x:c>
    </x:row>
    <x:row r="32" ht="24" customHeight="1">
      <x:c r="A32" s="32" t="str">
        <x:v>QUOTE-007</x:v>
      </x:c>
      <x:c r="B32" s="33" t="str">
        <x:v>견적서_7.pdf</x:v>
      </x:c>
      <x:c r="C32" s="33" t="n">
        <x:v>3</x:v>
      </x:c>
      <x:c r="D32" s="33" t="str">
        <x:v>LR-CORE1</x:v>
      </x:c>
      <x:c r="E32" s="33" t="str">
        <x:v>액세서리</x:v>
      </x:c>
      <x:c r="F32" s="33" t="str">
        <x:v>EA</x:v>
      </x:c>
      <x:c r="G32" s="39" t="n">
        <x:v>4</x:v>
      </x:c>
      <x:c r="H32" s="39" t="n">
        <x:v>4200000</x:v>
      </x:c>
      <x:c r="I32" s="39" t="n">
        <x:v>16800000</x:v>
      </x:c>
      <x:c r="J32" s="39" t="n">
        <x:f>G32*H32</x:f>
        <x:v>16800000</x:v>
      </x:c>
      <x:c r="K32" s="33" t="str">
        <x:f>IF(I32=J32,"일치","불일치")</x:f>
        <x:v>일치</x:v>
      </x:c>
      <x:c r="L32" s="33" t="str">
        <x:v>운영 보조</x:v>
      </x:c>
      <x:c r="M32" s="34" t="str">
        <x:v>p.1 품목표</x:v>
      </x:c>
    </x:row>
    <x:row r="33" ht="24" customHeight="1">
      <x:c r="A33" s="32" t="str">
        <x:v>QUOTE-007</x:v>
      </x:c>
      <x:c r="B33" s="33" t="str">
        <x:v>견적서_7.pdf</x:v>
      </x:c>
      <x:c r="C33" s="33" t="n">
        <x:v>4</x:v>
      </x:c>
      <x:c r="D33" s="33" t="str">
        <x:v>LP1000</x:v>
      </x:c>
      <x:c r="E33" s="33" t="str">
        <x:v>프로브</x:v>
      </x:c>
      <x:c r="F33" s="33" t="str">
        <x:v>EA</x:v>
      </x:c>
      <x:c r="G33" s="39" t="n">
        <x:v>18</x:v>
      </x:c>
      <x:c r="H33" s="39" t="n">
        <x:v>130000</x:v>
      </x:c>
      <x:c r="I33" s="39" t="n">
        <x:v>2340000</x:v>
      </x:c>
      <x:c r="J33" s="39" t="n">
        <x:f>G33*H33</x:f>
        <x:v>2340000</x:v>
      </x:c>
      <x:c r="K33" s="33" t="str">
        <x:f>IF(I33=J33,"일치","불일치")</x:f>
        <x:v>일치</x:v>
      </x:c>
      <x:c r="L33" s="33" t="str">
        <x:v>기본 소모품</x:v>
      </x:c>
      <x:c r="M33" s="34" t="str">
        <x:v>p.1 품목표</x:v>
      </x:c>
    </x:row>
    <x:row r="34" ht="24" customHeight="1">
      <x:c r="A34" s="32" t="str">
        <x:v>QUOTE-007</x:v>
      </x:c>
      <x:c r="B34" s="33" t="str">
        <x:v>견적서_7.pdf</x:v>
      </x:c>
      <x:c r="C34" s="33" t="n">
        <x:v>5</x:v>
      </x:c>
      <x:c r="D34" s="33" t="str">
        <x:v>LP100</x:v>
      </x:c>
      <x:c r="E34" s="33" t="str">
        <x:v>부품</x:v>
      </x:c>
      <x:c r="F34" s="33" t="str">
        <x:v>EA</x:v>
      </x:c>
      <x:c r="G34" s="39" t="n">
        <x:v>2</x:v>
      </x:c>
      <x:c r="H34" s="39" t="n">
        <x:v>180000</x:v>
      </x:c>
      <x:c r="I34" s="39" t="n">
        <x:v>360000</x:v>
      </x:c>
      <x:c r="J34" s="39" t="n">
        <x:f>G34*H34</x:f>
        <x:v>360000</x:v>
      </x:c>
      <x:c r="K34" s="33" t="str">
        <x:f>IF(I34=J34,"일치","불일치")</x:f>
        <x:v>일치</x:v>
      </x:c>
      <x:c r="L34" s="33" t="str">
        <x:v>예비 구성</x:v>
      </x:c>
      <x:c r="M34" s="34" t="str">
        <x:v>p.1 품목표</x:v>
      </x:c>
    </x:row>
    <x:row r="35" ht="24" customHeight="1">
      <x:c r="A35" s="32" t="str">
        <x:v>QUOTE-007</x:v>
      </x:c>
      <x:c r="B35" s="33" t="str">
        <x:v>견적서_7.pdf</x:v>
      </x:c>
      <x:c r="C35" s="33" t="n">
        <x:v>6</x:v>
      </x:c>
      <x:c r="D35" s="33" t="str">
        <x:v>LR2000</x:v>
      </x:c>
      <x:c r="E35" s="33" t="str">
        <x:v>시스템</x:v>
      </x:c>
      <x:c r="F35" s="33" t="str">
        <x:v>EA</x:v>
      </x:c>
      <x:c r="G35" s="39" t="n">
        <x:v>2</x:v>
      </x:c>
      <x:c r="H35" s="39" t="n">
        <x:v>5200000</x:v>
      </x:c>
      <x:c r="I35" s="39" t="n">
        <x:v>10400000</x:v>
      </x:c>
      <x:c r="J35" s="39" t="n">
        <x:f>G35*H35</x:f>
        <x:v>10400000</x:v>
      </x:c>
      <x:c r="K35" s="33" t="str">
        <x:f>IF(I35=J35,"일치","불일치")</x:f>
        <x:v>일치</x:v>
      </x:c>
      <x:c r="L35" s="33" t="str">
        <x:v>기본 구성</x:v>
      </x:c>
      <x:c r="M35" s="34" t="str">
        <x:v>p.1 품목표</x:v>
      </x:c>
    </x:row>
    <x:row r="36" ht="24" customHeight="1">
      <x:c r="A36" s="32" t="str">
        <x:v>QUOTE-008</x:v>
      </x:c>
      <x:c r="B36" s="33" t="str">
        <x:v>견적서_8.pdf</x:v>
      </x:c>
      <x:c r="C36" s="33" t="n">
        <x:v>1</x:v>
      </x:c>
      <x:c r="D36" s="33" t="str">
        <x:v>LP100</x:v>
      </x:c>
      <x:c r="E36" s="33" t="str">
        <x:v>부품</x:v>
      </x:c>
      <x:c r="F36" s="33" t="str">
        <x:v>EA</x:v>
      </x:c>
      <x:c r="G36" s="39" t="n">
        <x:v>7</x:v>
      </x:c>
      <x:c r="H36" s="39" t="n">
        <x:v>180000</x:v>
      </x:c>
      <x:c r="I36" s="39" t="n">
        <x:v>1260000</x:v>
      </x:c>
      <x:c r="J36" s="39" t="n">
        <x:f>G36*H36</x:f>
        <x:v>1260000</x:v>
      </x:c>
      <x:c r="K36" s="33" t="str">
        <x:f>IF(I36=J36,"일치","불일치")</x:f>
        <x:v>일치</x:v>
      </x:c>
      <x:c r="L36" s="33" t="str">
        <x:v>교체용</x:v>
      </x:c>
      <x:c r="M36" s="34" t="str">
        <x:v>p.1 품목표</x:v>
      </x:c>
    </x:row>
    <x:row r="37" ht="24" customHeight="1">
      <x:c r="A37" s="32" t="str">
        <x:v>QUOTE-008</x:v>
      </x:c>
      <x:c r="B37" s="33" t="str">
        <x:v>견적서_8.pdf</x:v>
      </x:c>
      <x:c r="C37" s="33" t="n">
        <x:v>2</x:v>
      </x:c>
      <x:c r="D37" s="33" t="str">
        <x:v>LP1000</x:v>
      </x:c>
      <x:c r="E37" s="33" t="str">
        <x:v>프로브</x:v>
      </x:c>
      <x:c r="F37" s="33" t="str">
        <x:v>EA</x:v>
      </x:c>
      <x:c r="G37" s="39" t="n">
        <x:v>6</x:v>
      </x:c>
      <x:c r="H37" s="39" t="n">
        <x:v>130000</x:v>
      </x:c>
      <x:c r="I37" s="39" t="n">
        <x:v>780000</x:v>
      </x:c>
      <x:c r="J37" s="39" t="n">
        <x:f>G37*H37</x:f>
        <x:v>780000</x:v>
      </x:c>
      <x:c r="K37" s="33" t="str">
        <x:f>IF(I37=J37,"일치","불일치")</x:f>
        <x:v>일치</x:v>
      </x:c>
      <x:c r="L37" s="33" t="str">
        <x:v>기본 소모품</x:v>
      </x:c>
      <x:c r="M37" s="34" t="str">
        <x:v>p.1 품목표</x:v>
      </x:c>
    </x:row>
    <x:row r="38" ht="24" customHeight="1">
      <x:c r="A38" s="32" t="str">
        <x:v>QUOTE-008</x:v>
      </x:c>
      <x:c r="B38" s="33" t="str">
        <x:v>견적서_8.pdf</x:v>
      </x:c>
      <x:c r="C38" s="33" t="n">
        <x:v>3</x:v>
      </x:c>
      <x:c r="D38" s="33" t="str">
        <x:v>LR2000</x:v>
      </x:c>
      <x:c r="E38" s="33" t="str">
        <x:v>시스템</x:v>
      </x:c>
      <x:c r="F38" s="33" t="str">
        <x:v>EA</x:v>
      </x:c>
      <x:c r="G38" s="39" t="n">
        <x:v>1</x:v>
      </x:c>
      <x:c r="H38" s="39" t="n">
        <x:v>5200000</x:v>
      </x:c>
      <x:c r="I38" s="39" t="n">
        <x:v>5200000</x:v>
      </x:c>
      <x:c r="J38" s="39" t="n">
        <x:f>G38*H38</x:f>
        <x:v>5200000</x:v>
      </x:c>
      <x:c r="K38" s="33" t="str">
        <x:f>IF(I38=J38,"일치","불일치")</x:f>
        <x:v>일치</x:v>
      </x:c>
      <x:c r="L38" s="33" t="str">
        <x:v>기본 구성</x:v>
      </x:c>
      <x:c r="M38" s="34" t="str">
        <x:v>p.1 품목표</x:v>
      </x:c>
    </x:row>
    <x:row r="39" ht="24" customHeight="1">
      <x:c r="A39" s="32" t="str">
        <x:v>QUOTE-009</x:v>
      </x:c>
      <x:c r="B39" s="33" t="str">
        <x:v>견적서_9.pdf</x:v>
      </x:c>
      <x:c r="C39" s="33" t="n">
        <x:v>1</x:v>
      </x:c>
      <x:c r="D39" s="33" t="str">
        <x:v>LR-PRO</x:v>
      </x:c>
      <x:c r="E39" s="33" t="str">
        <x:v>시스템</x:v>
      </x:c>
      <x:c r="F39" s="33" t="str">
        <x:v>EA</x:v>
      </x:c>
      <x:c r="G39" s="39" t="n">
        <x:v>2</x:v>
      </x:c>
      <x:c r="H39" s="39" t="n">
        <x:v>6000000</x:v>
      </x:c>
      <x:c r="I39" s="39" t="n">
        <x:v>12000000</x:v>
      </x:c>
      <x:c r="J39" s="39" t="n">
        <x:f>G39*H39</x:f>
        <x:v>12000000</x:v>
      </x:c>
      <x:c r="K39" s="33" t="str">
        <x:f>IF(I39=J39,"일치","불일치")</x:f>
        <x:v>일치</x:v>
      </x:c>
      <x:c r="L39" s="33" t="str">
        <x:v>설치 대상</x:v>
      </x:c>
      <x:c r="M39" s="34" t="str">
        <x:v>p.1 품목표</x:v>
      </x:c>
    </x:row>
    <x:row r="40" ht="24" customHeight="1">
      <x:c r="A40" s="32" t="str">
        <x:v>QUOTE-009</x:v>
      </x:c>
      <x:c r="B40" s="33" t="str">
        <x:v>견적서_9.pdf</x:v>
      </x:c>
      <x:c r="C40" s="33" t="n">
        <x:v>2</x:v>
      </x:c>
      <x:c r="D40" s="33" t="str">
        <x:v>LP1000</x:v>
      </x:c>
      <x:c r="E40" s="33" t="str">
        <x:v>프로브</x:v>
      </x:c>
      <x:c r="F40" s="33" t="str">
        <x:v>EA</x:v>
      </x:c>
      <x:c r="G40" s="39" t="n">
        <x:v>14</x:v>
      </x:c>
      <x:c r="H40" s="39" t="n">
        <x:v>130000</x:v>
      </x:c>
      <x:c r="I40" s="39" t="n">
        <x:v>1820000</x:v>
      </x:c>
      <x:c r="J40" s="39" t="n">
        <x:f>G40*H40</x:f>
        <x:v>1820000</x:v>
      </x:c>
      <x:c r="K40" s="33" t="str">
        <x:f>IF(I40=J40,"일치","불일치")</x:f>
        <x:v>일치</x:v>
      </x:c>
      <x:c r="L40" s="33" t="str">
        <x:v>현장 사용</x:v>
      </x:c>
      <x:c r="M40" s="34" t="str">
        <x:v>p.1 품목표</x:v>
      </x:c>
    </x:row>
    <x:row r="41" ht="24" customHeight="1">
      <x:c r="A41" s="32" t="str">
        <x:v>QUOTE-009</x:v>
      </x:c>
      <x:c r="B41" s="33" t="str">
        <x:v>견적서_9.pdf</x:v>
      </x:c>
      <x:c r="C41" s="33" t="n">
        <x:v>3</x:v>
      </x:c>
      <x:c r="D41" s="33" t="str">
        <x:v>LP100</x:v>
      </x:c>
      <x:c r="E41" s="33" t="str">
        <x:v>부품</x:v>
      </x:c>
      <x:c r="F41" s="33" t="str">
        <x:v>EA</x:v>
      </x:c>
      <x:c r="G41" s="39" t="n">
        <x:v>7</x:v>
      </x:c>
      <x:c r="H41" s="39" t="n">
        <x:v>180000</x:v>
      </x:c>
      <x:c r="I41" s="39" t="n">
        <x:v>1260000</x:v>
      </x:c>
      <x:c r="J41" s="39" t="n">
        <x:f>G41*H41</x:f>
        <x:v>1260000</x:v>
      </x:c>
      <x:c r="K41" s="33" t="str">
        <x:f>IF(I41=J41,"일치","불일치")</x:f>
        <x:v>일치</x:v>
      </x:c>
      <x:c r="L41" s="33" t="str">
        <x:v>유지보수</x:v>
      </x:c>
      <x:c r="M41" s="34" t="str">
        <x:v>p.1 품목표</x:v>
      </x:c>
    </x:row>
    <x:row r="42" ht="24" customHeight="1">
      <x:c r="A42" s="32" t="str">
        <x:v>QUOTE-010</x:v>
      </x:c>
      <x:c r="B42" s="33" t="str">
        <x:v>견적서_10.pdf</x:v>
      </x:c>
      <x:c r="C42" s="33" t="n">
        <x:v>1</x:v>
      </x:c>
      <x:c r="D42" s="33" t="str">
        <x:v>LR1000</x:v>
      </x:c>
      <x:c r="E42" s="33" t="str">
        <x:v>시스템</x:v>
      </x:c>
      <x:c r="F42" s="33" t="str">
        <x:v>EA</x:v>
      </x:c>
      <x:c r="G42" s="39" t="n">
        <x:v>2</x:v>
      </x:c>
      <x:c r="H42" s="39" t="n">
        <x:v>4500000</x:v>
      </x:c>
      <x:c r="I42" s="39" t="n">
        <x:v>9000000</x:v>
      </x:c>
      <x:c r="J42" s="39" t="n">
        <x:f>G42*H42</x:f>
        <x:v>9000000</x:v>
      </x:c>
      <x:c r="K42" s="33" t="str">
        <x:f>IF(I42=J42,"일치","불일치")</x:f>
        <x:v>일치</x:v>
      </x:c>
      <x:c r="L42" s="33" t="str">
        <x:v>기본 구성</x:v>
      </x:c>
      <x:c r="M42" s="34" t="str">
        <x:v>p.1 품목표</x:v>
      </x:c>
    </x:row>
    <x:row r="43" ht="24" customHeight="1">
      <x:c r="A43" s="32" t="str">
        <x:v>QUOTE-010</x:v>
      </x:c>
      <x:c r="B43" s="33" t="str">
        <x:v>견적서_10.pdf</x:v>
      </x:c>
      <x:c r="C43" s="33" t="n">
        <x:v>2</x:v>
      </x:c>
      <x:c r="D43" s="33" t="str">
        <x:v>LR-CORE3</x:v>
      </x:c>
      <x:c r="E43" s="33" t="str">
        <x:v>액세서리</x:v>
      </x:c>
      <x:c r="F43" s="33" t="str">
        <x:v>EA</x:v>
      </x:c>
      <x:c r="G43" s="39" t="n">
        <x:v>5</x:v>
      </x:c>
      <x:c r="H43" s="39" t="n">
        <x:v>60000</x:v>
      </x:c>
      <x:c r="I43" s="39" t="n">
        <x:v>300000</x:v>
      </x:c>
      <x:c r="J43" s="39" t="n">
        <x:f>G43*H43</x:f>
        <x:v>300000</x:v>
      </x:c>
      <x:c r="K43" s="33" t="str">
        <x:f>IF(I43=J43,"일치","불일치")</x:f>
        <x:v>일치</x:v>
      </x:c>
      <x:c r="L43" s="33" t="str">
        <x:v>확장 구성</x:v>
      </x:c>
      <x:c r="M43" s="34" t="str">
        <x:v>p.1 품목표</x:v>
      </x:c>
    </x:row>
    <x:row r="44" ht="24" customHeight="1">
      <x:c r="A44" s="32" t="str">
        <x:v>QUOTE-010</x:v>
      </x:c>
      <x:c r="B44" s="33" t="str">
        <x:v>견적서_10.pdf</x:v>
      </x:c>
      <x:c r="C44" s="33" t="n">
        <x:v>3</x:v>
      </x:c>
      <x:c r="D44" s="33" t="str">
        <x:v>LR-CORE1</x:v>
      </x:c>
      <x:c r="E44" s="33" t="str">
        <x:v>액세서리</x:v>
      </x:c>
      <x:c r="F44" s="33" t="str">
        <x:v>EA</x:v>
      </x:c>
      <x:c r="G44" s="39" t="n">
        <x:v>3</x:v>
      </x:c>
      <x:c r="H44" s="39" t="n">
        <x:v>4200000</x:v>
      </x:c>
      <x:c r="I44" s="39" t="n">
        <x:v>12600000</x:v>
      </x:c>
      <x:c r="J44" s="39" t="n">
        <x:f>G44*H44</x:f>
        <x:v>12600000</x:v>
      </x:c>
      <x:c r="K44" s="33" t="str">
        <x:f>IF(I44=J44,"일치","불일치")</x:f>
        <x:v>일치</x:v>
      </x:c>
      <x:c r="L44" s="33" t="str">
        <x:v>운영 보조</x:v>
      </x:c>
      <x:c r="M44" s="34" t="str">
        <x:v>p.1 품목표</x:v>
      </x:c>
    </x:row>
    <x:row r="45" ht="24" customHeight="1">
      <x:c r="A45" s="32" t="str">
        <x:v>QUOTE-010</x:v>
      </x:c>
      <x:c r="B45" s="33" t="str">
        <x:v>견적서_10.pdf</x:v>
      </x:c>
      <x:c r="C45" s="33" t="n">
        <x:v>4</x:v>
      </x:c>
      <x:c r="D45" s="33" t="str">
        <x:v>LP1500</x:v>
      </x:c>
      <x:c r="E45" s="33" t="str">
        <x:v>프로브</x:v>
      </x:c>
      <x:c r="F45" s="33" t="str">
        <x:v>EA</x:v>
      </x:c>
      <x:c r="G45" s="39" t="n">
        <x:v>17</x:v>
      </x:c>
      <x:c r="H45" s="39" t="n">
        <x:v>145000</x:v>
      </x:c>
      <x:c r="I45" s="39" t="n">
        <x:v>2465000</x:v>
      </x:c>
      <x:c r="J45" s="39" t="n">
        <x:f>G45*H45</x:f>
        <x:v>2465000</x:v>
      </x:c>
      <x:c r="K45" s="33" t="str">
        <x:f>IF(I45=J45,"일치","불일치")</x:f>
        <x:v>일치</x:v>
      </x:c>
      <x:c r="L45" s="33" t="str">
        <x:v>기본 소모품</x:v>
      </x:c>
      <x:c r="M45" s="34" t="str">
        <x:v>p.1 품목표</x:v>
      </x:c>
    </x:row>
    <x:row r="46" ht="24" customHeight="1">
      <x:c r="A46" s="32" t="str">
        <x:v>QUOTE-010</x:v>
      </x:c>
      <x:c r="B46" s="33" t="str">
        <x:v>견적서_10.pdf</x:v>
      </x:c>
      <x:c r="C46" s="33" t="n">
        <x:v>5</x:v>
      </x:c>
      <x:c r="D46" s="33" t="str">
        <x:v>LR-CORE2</x:v>
      </x:c>
      <x:c r="E46" s="33" t="str">
        <x:v>액세서리</x:v>
      </x:c>
      <x:c r="F46" s="33" t="str">
        <x:v>EA</x:v>
      </x:c>
      <x:c r="G46" s="39" t="n">
        <x:v>2</x:v>
      </x:c>
      <x:c r="H46" s="39" t="n">
        <x:v>4800000</x:v>
      </x:c>
      <x:c r="I46" s="39" t="n">
        <x:v>9600000</x:v>
      </x:c>
      <x:c r="J46" s="39" t="n">
        <x:f>G46*H46</x:f>
        <x:v>9600000</x:v>
      </x:c>
      <x:c r="K46" s="33" t="str">
        <x:f>IF(I46=J46,"일치","불일치")</x:f>
        <x:v>일치</x:v>
      </x:c>
      <x:c r="L46" s="33" t="str">
        <x:v>운영 보조</x:v>
      </x:c>
      <x:c r="M46" s="34" t="str">
        <x:v>p.1 품목표</x:v>
      </x:c>
    </x:row>
    <x:row r="47" ht="24" customHeight="1">
      <x:c r="A47" s="32" t="str">
        <x:v>QUOTE-010</x:v>
      </x:c>
      <x:c r="B47" s="33" t="str">
        <x:v>견적서_10.pdf</x:v>
      </x:c>
      <x:c r="C47" s="33" t="n">
        <x:v>6</x:v>
      </x:c>
      <x:c r="D47" s="33" t="str">
        <x:v>LP2000</x:v>
      </x:c>
      <x:c r="E47" s="33" t="str">
        <x:v>프로브</x:v>
      </x:c>
      <x:c r="F47" s="33" t="str">
        <x:v>EA</x:v>
      </x:c>
      <x:c r="G47" s="39" t="n">
        <x:v>18</x:v>
      </x:c>
      <x:c r="H47" s="39" t="n">
        <x:v>175000</x:v>
      </x:c>
      <x:c r="I47" s="39" t="n">
        <x:v>3150000</x:v>
      </x:c>
      <x:c r="J47" s="39" t="n">
        <x:f>G47*H47</x:f>
        <x:v>3150000</x:v>
      </x:c>
      <x:c r="K47" s="33" t="str">
        <x:f>IF(I47=J47,"일치","불일치")</x:f>
        <x:v>일치</x:v>
      </x:c>
      <x:c r="L47" s="33" t="str">
        <x:v>추가 구성</x:v>
      </x:c>
      <x:c r="M47" s="34" t="str">
        <x:v>p.1 품목표</x:v>
      </x:c>
    </x:row>
    <x:row r="48" ht="24" customHeight="1">
      <x:c r="A48" s="32" t="str">
        <x:v>QUOTE-011</x:v>
      </x:c>
      <x:c r="B48" s="33" t="str">
        <x:v>견적서_11.pdf</x:v>
      </x:c>
      <x:c r="C48" s="33" t="n">
        <x:v>1</x:v>
      </x:c>
      <x:c r="D48" s="33" t="str">
        <x:v>LP1000</x:v>
      </x:c>
      <x:c r="E48" s="33" t="str">
        <x:v>프로브</x:v>
      </x:c>
      <x:c r="F48" s="33" t="str">
        <x:v>EA</x:v>
      </x:c>
      <x:c r="G48" s="39" t="n">
        <x:v>14</x:v>
      </x:c>
      <x:c r="H48" s="39" t="n">
        <x:v>130000</x:v>
      </x:c>
      <x:c r="I48" s="39" t="n">
        <x:v>1820000</x:v>
      </x:c>
      <x:c r="J48" s="39" t="n">
        <x:f>G48*H48</x:f>
        <x:v>1820000</x:v>
      </x:c>
      <x:c r="K48" s="33" t="str">
        <x:f>IF(I48=J48,"일치","불일치")</x:f>
        <x:v>일치</x:v>
      </x:c>
      <x:c r="L48" s="33" t="str">
        <x:v>기본 소모품</x:v>
      </x:c>
      <x:c r="M48" s="34" t="str">
        <x:v>p.1 품목표</x:v>
      </x:c>
    </x:row>
    <x:row r="49" ht="24" customHeight="1">
      <x:c r="A49" s="32" t="str">
        <x:v>QUOTE-011</x:v>
      </x:c>
      <x:c r="B49" s="33" t="str">
        <x:v>견적서_11.pdf</x:v>
      </x:c>
      <x:c r="C49" s="33" t="n">
        <x:v>2</x:v>
      </x:c>
      <x:c r="D49" s="33" t="str">
        <x:v>LR2000</x:v>
      </x:c>
      <x:c r="E49" s="33" t="str">
        <x:v>시스템</x:v>
      </x:c>
      <x:c r="F49" s="33" t="str">
        <x:v>EA</x:v>
      </x:c>
      <x:c r="G49" s="39" t="n">
        <x:v>1</x:v>
      </x:c>
      <x:c r="H49" s="39" t="n">
        <x:v>5200000</x:v>
      </x:c>
      <x:c r="I49" s="39" t="n">
        <x:v>5200000</x:v>
      </x:c>
      <x:c r="J49" s="39" t="n">
        <x:f>G49*H49</x:f>
        <x:v>5200000</x:v>
      </x:c>
      <x:c r="K49" s="33" t="str">
        <x:f>IF(I49=J49,"일치","불일치")</x:f>
        <x:v>일치</x:v>
      </x:c>
      <x:c r="L49" s="33" t="str">
        <x:v>설치 대상</x:v>
      </x:c>
      <x:c r="M49" s="34" t="str">
        <x:v>p.1 품목표</x:v>
      </x:c>
    </x:row>
    <x:row r="50" ht="24" customHeight="1">
      <x:c r="A50" s="32" t="str">
        <x:v>QUOTE-011</x:v>
      </x:c>
      <x:c r="B50" s="33" t="str">
        <x:v>견적서_11.pdf</x:v>
      </x:c>
      <x:c r="C50" s="33" t="n">
        <x:v>3</x:v>
      </x:c>
      <x:c r="D50" s="33" t="str">
        <x:v>LP1500</x:v>
      </x:c>
      <x:c r="E50" s="33" t="str">
        <x:v>프로브</x:v>
      </x:c>
      <x:c r="F50" s="33" t="str">
        <x:v>EA</x:v>
      </x:c>
      <x:c r="G50" s="39" t="n">
        <x:v>18</x:v>
      </x:c>
      <x:c r="H50" s="39" t="n">
        <x:v>145000</x:v>
      </x:c>
      <x:c r="I50" s="39" t="n">
        <x:v>2610000</x:v>
      </x:c>
      <x:c r="J50" s="39" t="n">
        <x:f>G50*H50</x:f>
        <x:v>2610000</x:v>
      </x:c>
      <x:c r="K50" s="33" t="str">
        <x:f>IF(I50=J50,"일치","불일치")</x:f>
        <x:v>일치</x:v>
      </x:c>
      <x:c r="L50" s="33" t="str">
        <x:v>현장 사용</x:v>
      </x:c>
      <x:c r="M50" s="34" t="str">
        <x:v>p.1 품목표</x:v>
      </x:c>
    </x:row>
    <x:row r="51" ht="24" customHeight="1">
      <x:c r="A51" s="32" t="str">
        <x:v>QUOTE-011</x:v>
      </x:c>
      <x:c r="B51" s="33" t="str">
        <x:v>견적서_11.pdf</x:v>
      </x:c>
      <x:c r="C51" s="33" t="n">
        <x:v>4</x:v>
      </x:c>
      <x:c r="D51" s="33" t="str">
        <x:v>LP200</x:v>
      </x:c>
      <x:c r="E51" s="33" t="str">
        <x:v>부품</x:v>
      </x:c>
      <x:c r="F51" s="33" t="str">
        <x:v>EA</x:v>
      </x:c>
      <x:c r="G51" s="39" t="n">
        <x:v>8</x:v>
      </x:c>
      <x:c r="H51" s="39" t="n">
        <x:v>240000</x:v>
      </x:c>
      <x:c r="I51" s="39" t="n">
        <x:v>1920000</x:v>
      </x:c>
      <x:c r="J51" s="39" t="n">
        <x:f>G51*H51</x:f>
        <x:v>1920000</x:v>
      </x:c>
      <x:c r="K51" s="33" t="str">
        <x:f>IF(I51=J51,"일치","불일치")</x:f>
        <x:v>일치</x:v>
      </x:c>
      <x:c r="L51" s="33" t="str">
        <x:v>교체용</x:v>
      </x:c>
      <x:c r="M51" s="34" t="str">
        <x:v>p.1 품목표</x:v>
      </x:c>
    </x:row>
    <x:row r="52" ht="24" customHeight="1">
      <x:c r="A52" s="32" t="str">
        <x:v>QUOTE-012</x:v>
      </x:c>
      <x:c r="B52" s="33" t="str">
        <x:v>견적서_12.pdf</x:v>
      </x:c>
      <x:c r="C52" s="33" t="n">
        <x:v>1</x:v>
      </x:c>
      <x:c r="D52" s="33" t="str">
        <x:v>LP1000</x:v>
      </x:c>
      <x:c r="E52" s="33" t="str">
        <x:v>프로브</x:v>
      </x:c>
      <x:c r="F52" s="33" t="str">
        <x:v>EA</x:v>
      </x:c>
      <x:c r="G52" s="39" t="n">
        <x:v>12</x:v>
      </x:c>
      <x:c r="H52" s="39" t="n">
        <x:v>130000</x:v>
      </x:c>
      <x:c r="I52" s="39" t="n">
        <x:v>1560000</x:v>
      </x:c>
      <x:c r="J52" s="39" t="n">
        <x:f>G52*H52</x:f>
        <x:v>1560000</x:v>
      </x:c>
      <x:c r="K52" s="33" t="str">
        <x:f>IF(I52=J52,"일치","불일치")</x:f>
        <x:v>일치</x:v>
      </x:c>
      <x:c r="L52" s="33" t="str">
        <x:v>기본 소모품</x:v>
      </x:c>
      <x:c r="M52" s="34" t="str">
        <x:v>p.1 품목표</x:v>
      </x:c>
    </x:row>
    <x:row r="53" ht="24" customHeight="1">
      <x:c r="A53" s="32" t="str">
        <x:v>QUOTE-012</x:v>
      </x:c>
      <x:c r="B53" s="33" t="str">
        <x:v>견적서_12.pdf</x:v>
      </x:c>
      <x:c r="C53" s="33" t="n">
        <x:v>2</x:v>
      </x:c>
      <x:c r="D53" s="33" t="str">
        <x:v>LR-PRO</x:v>
      </x:c>
      <x:c r="E53" s="33" t="str">
        <x:v>시스템</x:v>
      </x:c>
      <x:c r="F53" s="33" t="str">
        <x:v>EA</x:v>
      </x:c>
      <x:c r="G53" s="39" t="n">
        <x:v>1</x:v>
      </x:c>
      <x:c r="H53" s="39" t="n">
        <x:v>6000000</x:v>
      </x:c>
      <x:c r="I53" s="39" t="n">
        <x:v>6000000</x:v>
      </x:c>
      <x:c r="J53" s="39" t="n">
        <x:f>G53*H53</x:f>
        <x:v>6000000</x:v>
      </x:c>
      <x:c r="K53" s="33" t="str">
        <x:f>IF(I53=J53,"일치","불일치")</x:f>
        <x:v>일치</x:v>
      </x:c>
      <x:c r="L53" s="33" t="str">
        <x:v>기본 구성</x:v>
      </x:c>
      <x:c r="M53" s="34" t="str">
        <x:v>p.1 품목표</x:v>
      </x:c>
    </x:row>
    <x:row r="54" ht="24" customHeight="1">
      <x:c r="A54" s="32" t="str">
        <x:v>QUOTE-012</x:v>
      </x:c>
      <x:c r="B54" s="33" t="str">
        <x:v>견적서_12.pdf</x:v>
      </x:c>
      <x:c r="C54" s="33" t="n">
        <x:v>3</x:v>
      </x:c>
      <x:c r="D54" s="33" t="str">
        <x:v>LP2000</x:v>
      </x:c>
      <x:c r="E54" s="33" t="str">
        <x:v>프로브</x:v>
      </x:c>
      <x:c r="F54" s="33" t="str">
        <x:v>EA</x:v>
      </x:c>
      <x:c r="G54" s="39" t="n">
        <x:v>5</x:v>
      </x:c>
      <x:c r="H54" s="39" t="n">
        <x:v>175000</x:v>
      </x:c>
      <x:c r="I54" s="39" t="n">
        <x:v>875000</x:v>
      </x:c>
      <x:c r="J54" s="39" t="n">
        <x:f>G54*H54</x:f>
        <x:v>875000</x:v>
      </x:c>
      <x:c r="K54" s="33" t="str">
        <x:f>IF(I54=J54,"일치","불일치")</x:f>
        <x:v>일치</x:v>
      </x:c>
      <x:c r="L54" s="33" t="str">
        <x:v>현장 사용</x:v>
      </x:c>
      <x:c r="M54" s="34" t="str">
        <x:v>p.1 품목표</x:v>
      </x:c>
    </x:row>
    <x:row r="55" ht="24" customHeight="1">
      <x:c r="A55" s="32" t="str">
        <x:v>QUOTE-012</x:v>
      </x:c>
      <x:c r="B55" s="33" t="str">
        <x:v>견적서_12.pdf</x:v>
      </x:c>
      <x:c r="C55" s="33" t="n">
        <x:v>4</x:v>
      </x:c>
      <x:c r="D55" s="33" t="str">
        <x:v>LP1500</x:v>
      </x:c>
      <x:c r="E55" s="33" t="str">
        <x:v>프로브</x:v>
      </x:c>
      <x:c r="F55" s="33" t="str">
        <x:v>EA</x:v>
      </x:c>
      <x:c r="G55" s="39" t="n">
        <x:v>10</x:v>
      </x:c>
      <x:c r="H55" s="39" t="n">
        <x:v>145000</x:v>
      </x:c>
      <x:c r="I55" s="39" t="n">
        <x:v>1450000</x:v>
      </x:c>
      <x:c r="J55" s="39" t="n">
        <x:f>G55*H55</x:f>
        <x:v>1450000</x:v>
      </x:c>
      <x:c r="K55" s="33" t="str">
        <x:f>IF(I55=J55,"일치","불일치")</x:f>
        <x:v>일치</x:v>
      </x:c>
      <x:c r="L55" s="33" t="str">
        <x:v>기본 소모품</x:v>
      </x:c>
      <x:c r="M55" s="34" t="str">
        <x:v>p.1 품목표</x:v>
      </x:c>
    </x:row>
    <x:row r="56" ht="24" customHeight="1">
      <x:c r="A56" s="32" t="str">
        <x:v>QUOTE-012</x:v>
      </x:c>
      <x:c r="B56" s="33" t="str">
        <x:v>견적서_12.pdf</x:v>
      </x:c>
      <x:c r="C56" s="33" t="n">
        <x:v>5</x:v>
      </x:c>
      <x:c r="D56" s="33" t="str">
        <x:v>LP200</x:v>
      </x:c>
      <x:c r="E56" s="33" t="str">
        <x:v>부품</x:v>
      </x:c>
      <x:c r="F56" s="33" t="str">
        <x:v>EA</x:v>
      </x:c>
      <x:c r="G56" s="39" t="n">
        <x:v>6</x:v>
      </x:c>
      <x:c r="H56" s="39" t="n">
        <x:v>240000</x:v>
      </x:c>
      <x:c r="I56" s="39" t="n">
        <x:v>1440000</x:v>
      </x:c>
      <x:c r="J56" s="39" t="n">
        <x:f>G56*H56</x:f>
        <x:v>1440000</x:v>
      </x:c>
      <x:c r="K56" s="33" t="str">
        <x:f>IF(I56=J56,"일치","불일치")</x:f>
        <x:v>일치</x:v>
      </x:c>
      <x:c r="L56" s="33" t="str">
        <x:v>유지보수</x:v>
      </x:c>
      <x:c r="M56" s="34" t="str">
        <x:v>p.1 품목표</x:v>
      </x:c>
    </x:row>
    <x:row r="57" ht="24" customHeight="1">
      <x:c r="A57" s="32" t="str">
        <x:v>QUOTE-013</x:v>
      </x:c>
      <x:c r="B57" s="33" t="str">
        <x:v>견적서_13.pdf</x:v>
      </x:c>
      <x:c r="C57" s="33" t="n">
        <x:v>1</x:v>
      </x:c>
      <x:c r="D57" s="33" t="str">
        <x:v>LP200</x:v>
      </x:c>
      <x:c r="E57" s="33" t="str">
        <x:v>부품</x:v>
      </x:c>
      <x:c r="F57" s="33" t="str">
        <x:v>EA</x:v>
      </x:c>
      <x:c r="G57" s="39" t="n">
        <x:v>4</x:v>
      </x:c>
      <x:c r="H57" s="39" t="n">
        <x:v>240000</x:v>
      </x:c>
      <x:c r="I57" s="39" t="n">
        <x:v>960000</x:v>
      </x:c>
      <x:c r="J57" s="39" t="n">
        <x:f>G57*H57</x:f>
        <x:v>960000</x:v>
      </x:c>
      <x:c r="K57" s="33" t="str">
        <x:f>IF(I57=J57,"일치","불일치")</x:f>
        <x:v>일치</x:v>
      </x:c>
      <x:c r="L57" s="33" t="str">
        <x:v>교체용</x:v>
      </x:c>
      <x:c r="M57" s="34" t="str">
        <x:v>p.1 품목표</x:v>
      </x:c>
    </x:row>
    <x:row r="58" ht="24" customHeight="1">
      <x:c r="A58" s="32" t="str">
        <x:v>QUOTE-013</x:v>
      </x:c>
      <x:c r="B58" s="33" t="str">
        <x:v>견적서_13.pdf</x:v>
      </x:c>
      <x:c r="C58" s="33" t="n">
        <x:v>2</x:v>
      </x:c>
      <x:c r="D58" s="33" t="str">
        <x:v>LR-CORE1</x:v>
      </x:c>
      <x:c r="E58" s="33" t="str">
        <x:v>액세서리</x:v>
      </x:c>
      <x:c r="F58" s="33" t="str">
        <x:v>EA</x:v>
      </x:c>
      <x:c r="G58" s="39" t="n">
        <x:v>2</x:v>
      </x:c>
      <x:c r="H58" s="39" t="n">
        <x:v>4200000</x:v>
      </x:c>
      <x:c r="I58" s="39" t="n">
        <x:v>8400000</x:v>
      </x:c>
      <x:c r="J58" s="39" t="n">
        <x:f>G58*H58</x:f>
        <x:v>8400000</x:v>
      </x:c>
      <x:c r="K58" s="33" t="str">
        <x:f>IF(I58=J58,"일치","불일치")</x:f>
        <x:v>일치</x:v>
      </x:c>
      <x:c r="L58" s="33" t="str">
        <x:v>운영 보조</x:v>
      </x:c>
      <x:c r="M58" s="34" t="str">
        <x:v>p.1 품목표</x:v>
      </x:c>
    </x:row>
    <x:row r="59" ht="24" customHeight="1">
      <x:c r="A59" s="32" t="str">
        <x:v>QUOTE-013</x:v>
      </x:c>
      <x:c r="B59" s="33" t="str">
        <x:v>견적서_13.pdf</x:v>
      </x:c>
      <x:c r="C59" s="33" t="n">
        <x:v>3</x:v>
      </x:c>
      <x:c r="D59" s="33" t="str">
        <x:v>LR-CORE3</x:v>
      </x:c>
      <x:c r="E59" s="33" t="str">
        <x:v>액세서리</x:v>
      </x:c>
      <x:c r="F59" s="33" t="str">
        <x:v>EA</x:v>
      </x:c>
      <x:c r="G59" s="39" t="n">
        <x:v>2</x:v>
      </x:c>
      <x:c r="H59" s="39" t="n">
        <x:v>60000</x:v>
      </x:c>
      <x:c r="I59" s="39" t="n">
        <x:v>120000</x:v>
      </x:c>
      <x:c r="J59" s="39" t="n">
        <x:f>G59*H59</x:f>
        <x:v>120000</x:v>
      </x:c>
      <x:c r="K59" s="33" t="str">
        <x:f>IF(I59=J59,"일치","불일치")</x:f>
        <x:v>일치</x:v>
      </x:c>
      <x:c r="L59" s="33" t="str">
        <x:v>확장 구성</x:v>
      </x:c>
      <x:c r="M59" s="34" t="str">
        <x:v>p.1 품목표</x:v>
      </x:c>
    </x:row>
    <x:row r="60" ht="24" customHeight="1">
      <x:c r="A60" s="32" t="str">
        <x:v>QUOTE-013</x:v>
      </x:c>
      <x:c r="B60" s="33" t="str">
        <x:v>견적서_13.pdf</x:v>
      </x:c>
      <x:c r="C60" s="33" t="n">
        <x:v>4</x:v>
      </x:c>
      <x:c r="D60" s="33" t="str">
        <x:v>LR-PRO</x:v>
      </x:c>
      <x:c r="E60" s="33" t="str">
        <x:v>시스템</x:v>
      </x:c>
      <x:c r="F60" s="33" t="str">
        <x:v>EA</x:v>
      </x:c>
      <x:c r="G60" s="39" t="n">
        <x:v>2</x:v>
      </x:c>
      <x:c r="H60" s="39" t="n">
        <x:v>6000000</x:v>
      </x:c>
      <x:c r="I60" s="39" t="n">
        <x:v>12000000</x:v>
      </x:c>
      <x:c r="J60" s="39" t="n">
        <x:f>G60*H60</x:f>
        <x:v>12000000</x:v>
      </x:c>
      <x:c r="K60" s="33" t="str">
        <x:f>IF(I60=J60,"일치","불일치")</x:f>
        <x:v>일치</x:v>
      </x:c>
      <x:c r="L60" s="33" t="str">
        <x:v>운영 구성</x:v>
      </x:c>
      <x:c r="M60" s="34" t="str">
        <x:v>p.1 품목표</x:v>
      </x:c>
    </x:row>
    <x:row r="61" ht="24" customHeight="1">
      <x:c r="A61" s="32" t="str">
        <x:v>QUOTE-014</x:v>
      </x:c>
      <x:c r="B61" s="33" t="str">
        <x:v>견적서_14.pdf</x:v>
      </x:c>
      <x:c r="C61" s="33" t="n">
        <x:v>1</x:v>
      </x:c>
      <x:c r="D61" s="33" t="str">
        <x:v>LP1000</x:v>
      </x:c>
      <x:c r="E61" s="33" t="str">
        <x:v>프로브</x:v>
      </x:c>
      <x:c r="F61" s="33" t="str">
        <x:v>EA</x:v>
      </x:c>
      <x:c r="G61" s="39" t="n">
        <x:v>19</x:v>
      </x:c>
      <x:c r="H61" s="39" t="n">
        <x:v>130000</x:v>
      </x:c>
      <x:c r="I61" s="39" t="n">
        <x:v>2470000</x:v>
      </x:c>
      <x:c r="J61" s="39" t="n">
        <x:f>G61*H61</x:f>
        <x:v>2470000</x:v>
      </x:c>
      <x:c r="K61" s="33" t="str">
        <x:f>IF(I61=J61,"일치","불일치")</x:f>
        <x:v>일치</x:v>
      </x:c>
      <x:c r="L61" s="33" t="str">
        <x:v>기본 소모품</x:v>
      </x:c>
      <x:c r="M61" s="34" t="str">
        <x:v>p.1 품목표</x:v>
      </x:c>
    </x:row>
    <x:row r="62" ht="24" customHeight="1">
      <x:c r="A62" s="32" t="str">
        <x:v>QUOTE-014</x:v>
      </x:c>
      <x:c r="B62" s="33" t="str">
        <x:v>견적서_14.pdf</x:v>
      </x:c>
      <x:c r="C62" s="33" t="n">
        <x:v>2</x:v>
      </x:c>
      <x:c r="D62" s="33" t="str">
        <x:v>LP1500</x:v>
      </x:c>
      <x:c r="E62" s="33" t="str">
        <x:v>프로브</x:v>
      </x:c>
      <x:c r="F62" s="33" t="str">
        <x:v>EA</x:v>
      </x:c>
      <x:c r="G62" s="39" t="n">
        <x:v>11</x:v>
      </x:c>
      <x:c r="H62" s="39" t="n">
        <x:v>145000</x:v>
      </x:c>
      <x:c r="I62" s="39" t="n">
        <x:v>1595000</x:v>
      </x:c>
      <x:c r="J62" s="39" t="n">
        <x:f>G62*H62</x:f>
        <x:v>1595000</x:v>
      </x:c>
      <x:c r="K62" s="33" t="str">
        <x:f>IF(I62=J62,"일치","불일치")</x:f>
        <x:v>일치</x:v>
      </x:c>
      <x:c r="L62" s="33" t="str">
        <x:v>추가 구성</x:v>
      </x:c>
      <x:c r="M62" s="34" t="str">
        <x:v>p.1 품목표</x:v>
      </x:c>
    </x:row>
    <x:row r="63" ht="24" customHeight="1">
      <x:c r="A63" s="32" t="str">
        <x:v>QUOTE-014</x:v>
      </x:c>
      <x:c r="B63" s="33" t="str">
        <x:v>견적서_14.pdf</x:v>
      </x:c>
      <x:c r="C63" s="33" t="n">
        <x:v>3</x:v>
      </x:c>
      <x:c r="D63" s="33" t="str">
        <x:v>LR-CORE2</x:v>
      </x:c>
      <x:c r="E63" s="33" t="str">
        <x:v>액세서리</x:v>
      </x:c>
      <x:c r="F63" s="33" t="str">
        <x:v>EA</x:v>
      </x:c>
      <x:c r="G63" s="39" t="n">
        <x:v>5</x:v>
      </x:c>
      <x:c r="H63" s="39" t="n">
        <x:v>4800000</x:v>
      </x:c>
      <x:c r="I63" s="39" t="n">
        <x:v>24000000</x:v>
      </x:c>
      <x:c r="J63" s="39" t="n">
        <x:f>G63*H63</x:f>
        <x:v>24000000</x:v>
      </x:c>
      <x:c r="K63" s="33" t="str">
        <x:f>IF(I63=J63,"일치","불일치")</x:f>
        <x:v>일치</x:v>
      </x:c>
      <x:c r="L63" s="33" t="str">
        <x:v>운영 보조</x:v>
      </x:c>
      <x:c r="M63" s="34" t="str">
        <x:v>p.1 품목표</x:v>
      </x:c>
    </x:row>
    <x:row r="64" ht="24" customHeight="1">
      <x:c r="A64" s="32" t="str">
        <x:v>QUOTE-014</x:v>
      </x:c>
      <x:c r="B64" s="33" t="str">
        <x:v>견적서_14.pdf</x:v>
      </x:c>
      <x:c r="C64" s="33" t="n">
        <x:v>4</x:v>
      </x:c>
      <x:c r="D64" s="33" t="str">
        <x:v>LP200</x:v>
      </x:c>
      <x:c r="E64" s="33" t="str">
        <x:v>부품</x:v>
      </x:c>
      <x:c r="F64" s="33" t="str">
        <x:v>EA</x:v>
      </x:c>
      <x:c r="G64" s="39" t="n">
        <x:v>6</x:v>
      </x:c>
      <x:c r="H64" s="39" t="n">
        <x:v>240000</x:v>
      </x:c>
      <x:c r="I64" s="39" t="n">
        <x:v>1440000</x:v>
      </x:c>
      <x:c r="J64" s="39" t="n">
        <x:f>G64*H64</x:f>
        <x:v>1440000</x:v>
      </x:c>
      <x:c r="K64" s="33" t="str">
        <x:f>IF(I64=J64,"일치","불일치")</x:f>
        <x:v>일치</x:v>
      </x:c>
      <x:c r="L64" s="33" t="str">
        <x:v>교체용</x:v>
      </x:c>
      <x:c r="M64" s="34" t="str">
        <x:v>p.1 품목표</x:v>
      </x:c>
    </x:row>
    <x:row r="65" ht="24" customHeight="1">
      <x:c r="A65" s="32" t="str">
        <x:v>QUOTE-014</x:v>
      </x:c>
      <x:c r="B65" s="33" t="str">
        <x:v>견적서_14.pdf</x:v>
      </x:c>
      <x:c r="C65" s="33" t="n">
        <x:v>5</x:v>
      </x:c>
      <x:c r="D65" s="33" t="str">
        <x:v>LR1000</x:v>
      </x:c>
      <x:c r="E65" s="33" t="str">
        <x:v>시스템</x:v>
      </x:c>
      <x:c r="F65" s="33" t="str">
        <x:v>EA</x:v>
      </x:c>
      <x:c r="G65" s="39" t="n">
        <x:v>2</x:v>
      </x:c>
      <x:c r="H65" s="39" t="n">
        <x:v>4500000</x:v>
      </x:c>
      <x:c r="I65" s="39" t="n">
        <x:v>9000000</x:v>
      </x:c>
      <x:c r="J65" s="39" t="n">
        <x:f>G65*H65</x:f>
        <x:v>9000000</x:v>
      </x:c>
      <x:c r="K65" s="33" t="str">
        <x:f>IF(I65=J65,"일치","불일치")</x:f>
        <x:v>일치</x:v>
      </x:c>
      <x:c r="L65" s="33" t="str">
        <x:v>운영 구성</x:v>
      </x:c>
      <x:c r="M65" s="34" t="str">
        <x:v>p.1 품목표</x:v>
      </x:c>
    </x:row>
    <x:row r="66" ht="24" customHeight="1">
      <x:c r="A66" s="32" t="str">
        <x:v>QUOTE-014</x:v>
      </x:c>
      <x:c r="B66" s="33" t="str">
        <x:v>견적서_14.pdf</x:v>
      </x:c>
      <x:c r="C66" s="33" t="n">
        <x:v>6</x:v>
      </x:c>
      <x:c r="D66" s="33" t="str">
        <x:v>LR-CORE1</x:v>
      </x:c>
      <x:c r="E66" s="33" t="str">
        <x:v>액세서리</x:v>
      </x:c>
      <x:c r="F66" s="33" t="str">
        <x:v>EA</x:v>
      </x:c>
      <x:c r="G66" s="39" t="n">
        <x:v>2</x:v>
      </x:c>
      <x:c r="H66" s="39" t="n">
        <x:v>4200000</x:v>
      </x:c>
      <x:c r="I66" s="39" t="n">
        <x:v>8400000</x:v>
      </x:c>
      <x:c r="J66" s="39" t="n">
        <x:f>G66*H66</x:f>
        <x:v>8400000</x:v>
      </x:c>
      <x:c r="K66" s="33" t="str">
        <x:f>IF(I66=J66,"일치","불일치")</x:f>
        <x:v>일치</x:v>
      </x:c>
      <x:c r="L66" s="33" t="str">
        <x:v>확장 구성</x:v>
      </x:c>
      <x:c r="M66" s="34" t="str">
        <x:v>p.1 품목표</x:v>
      </x:c>
    </x:row>
    <x:row r="67" ht="24" customHeight="1">
      <x:c r="A67" s="32" t="str">
        <x:v>QUOTE-015</x:v>
      </x:c>
      <x:c r="B67" s="33" t="str">
        <x:v>견적서_15.pdf</x:v>
      </x:c>
      <x:c r="C67" s="33" t="n">
        <x:v>1</x:v>
      </x:c>
      <x:c r="D67" s="33" t="str">
        <x:v>LP1000</x:v>
      </x:c>
      <x:c r="E67" s="33" t="str">
        <x:v>프로브</x:v>
      </x:c>
      <x:c r="F67" s="33" t="str">
        <x:v>EA</x:v>
      </x:c>
      <x:c r="G67" s="39" t="n">
        <x:v>20</x:v>
      </x:c>
      <x:c r="H67" s="39" t="n">
        <x:v>130000</x:v>
      </x:c>
      <x:c r="I67" s="39" t="n">
        <x:v>2600000</x:v>
      </x:c>
      <x:c r="J67" s="39" t="n">
        <x:f>G67*H67</x:f>
        <x:v>2600000</x:v>
      </x:c>
      <x:c r="K67" s="33" t="str">
        <x:f>IF(I67=J67,"일치","불일치")</x:f>
        <x:v>일치</x:v>
      </x:c>
      <x:c r="L67" s="33" t="str">
        <x:v>현장 사용</x:v>
      </x:c>
      <x:c r="M67" s="34" t="str">
        <x:v>p.1 품목표</x:v>
      </x:c>
    </x:row>
    <x:row r="68" ht="24" customHeight="1">
      <x:c r="A68" s="32" t="str">
        <x:v>QUOTE-015</x:v>
      </x:c>
      <x:c r="B68" s="33" t="str">
        <x:v>견적서_15.pdf</x:v>
      </x:c>
      <x:c r="C68" s="33" t="n">
        <x:v>2</x:v>
      </x:c>
      <x:c r="D68" s="33" t="str">
        <x:v>LP2000</x:v>
      </x:c>
      <x:c r="E68" s="33" t="str">
        <x:v>프로브</x:v>
      </x:c>
      <x:c r="F68" s="33" t="str">
        <x:v>EA</x:v>
      </x:c>
      <x:c r="G68" s="39" t="n">
        <x:v>11</x:v>
      </x:c>
      <x:c r="H68" s="39" t="n">
        <x:v>175000</x:v>
      </x:c>
      <x:c r="I68" s="39" t="n">
        <x:v>1925000</x:v>
      </x:c>
      <x:c r="J68" s="39" t="n">
        <x:f>G68*H68</x:f>
        <x:v>1925000</x:v>
      </x:c>
      <x:c r="K68" s="33" t="str">
        <x:f>IF(I68=J68,"일치","불일치")</x:f>
        <x:v>일치</x:v>
      </x:c>
      <x:c r="L68" s="33" t="str">
        <x:v>기본 소모품</x:v>
      </x:c>
      <x:c r="M68" s="34" t="str">
        <x:v>p.1 품목표</x:v>
      </x:c>
    </x:row>
    <x:row r="69" ht="24" customHeight="1">
      <x:c r="A69" s="32" t="str">
        <x:v>QUOTE-015</x:v>
      </x:c>
      <x:c r="B69" s="33" t="str">
        <x:v>견적서_15.pdf</x:v>
      </x:c>
      <x:c r="C69" s="33" t="n">
        <x:v>3</x:v>
      </x:c>
      <x:c r="D69" s="33" t="str">
        <x:v>LR2000</x:v>
      </x:c>
      <x:c r="E69" s="33" t="str">
        <x:v>시스템</x:v>
      </x:c>
      <x:c r="F69" s="33" t="str">
        <x:v>EA</x:v>
      </x:c>
      <x:c r="G69" s="39" t="n">
        <x:v>3</x:v>
      </x:c>
      <x:c r="H69" s="39" t="n">
        <x:v>5200000</x:v>
      </x:c>
      <x:c r="I69" s="39" t="n">
        <x:v>15600000</x:v>
      </x:c>
      <x:c r="J69" s="39" t="n">
        <x:f>G69*H69</x:f>
        <x:v>15600000</x:v>
      </x:c>
      <x:c r="K69" s="33" t="str">
        <x:f>IF(I69=J69,"일치","불일치")</x:f>
        <x:v>일치</x:v>
      </x:c>
      <x:c r="L69" s="33" t="str">
        <x:v>설치 대상</x:v>
      </x:c>
      <x:c r="M69" s="34" t="str">
        <x:v>p.1 품목표</x:v>
      </x:c>
    </x:row>
    <x:row r="70" ht="24" customHeight="1">
      <x:c r="A70" s="32" t="str">
        <x:v>QUOTE-015</x:v>
      </x:c>
      <x:c r="B70" s="33" t="str">
        <x:v>견적서_15.pdf</x:v>
      </x:c>
      <x:c r="C70" s="33" t="n">
        <x:v>4</x:v>
      </x:c>
      <x:c r="D70" s="33" t="str">
        <x:v>LP200</x:v>
      </x:c>
      <x:c r="E70" s="33" t="str">
        <x:v>부품</x:v>
      </x:c>
      <x:c r="F70" s="33" t="str">
        <x:v>EA</x:v>
      </x:c>
      <x:c r="G70" s="39" t="n">
        <x:v>10</x:v>
      </x:c>
      <x:c r="H70" s="39" t="n">
        <x:v>240000</x:v>
      </x:c>
      <x:c r="I70" s="39" t="n">
        <x:v>2400000</x:v>
      </x:c>
      <x:c r="J70" s="39" t="n">
        <x:f>G70*H70</x:f>
        <x:v>2400000</x:v>
      </x:c>
      <x:c r="K70" s="33" t="str">
        <x:f>IF(I70=J70,"일치","불일치")</x:f>
        <x:v>일치</x:v>
      </x:c>
      <x:c r="L70" s="33" t="str">
        <x:v>교체용</x:v>
      </x:c>
      <x:c r="M70" s="34" t="str">
        <x:v>p.1 품목표</x:v>
      </x:c>
    </x:row>
    <x:row r="71" ht="24" customHeight="1">
      <x:c r="A71" s="32" t="str">
        <x:v>QUOTE-016</x:v>
      </x:c>
      <x:c r="B71" s="33" t="str">
        <x:v>견적서_16.pdf</x:v>
      </x:c>
      <x:c r="C71" s="33" t="n">
        <x:v>1</x:v>
      </x:c>
      <x:c r="D71" s="33" t="str">
        <x:v>LP1500</x:v>
      </x:c>
      <x:c r="E71" s="33" t="str">
        <x:v>프로브</x:v>
      </x:c>
      <x:c r="F71" s="33" t="str">
        <x:v>EA</x:v>
      </x:c>
      <x:c r="G71" s="39" t="n">
        <x:v>12</x:v>
      </x:c>
      <x:c r="H71" s="39" t="n">
        <x:v>145000</x:v>
      </x:c>
      <x:c r="I71" s="39" t="n">
        <x:v>1740000</x:v>
      </x:c>
      <x:c r="J71" s="39" t="n">
        <x:f>G71*H71</x:f>
        <x:v>1740000</x:v>
      </x:c>
      <x:c r="K71" s="33" t="str">
        <x:f>IF(I71=J71,"일치","불일치")</x:f>
        <x:v>일치</x:v>
      </x:c>
      <x:c r="L71" s="33" t="str">
        <x:v>추가 구성</x:v>
      </x:c>
      <x:c r="M71" s="34" t="str">
        <x:v>p.1 품목표</x:v>
      </x:c>
    </x:row>
    <x:row r="72" ht="24" customHeight="1">
      <x:c r="A72" s="32" t="str">
        <x:v>QUOTE-016</x:v>
      </x:c>
      <x:c r="B72" s="33" t="str">
        <x:v>견적서_16.pdf</x:v>
      </x:c>
      <x:c r="C72" s="33" t="n">
        <x:v>2</x:v>
      </x:c>
      <x:c r="D72" s="33" t="str">
        <x:v>LR-CORE2</x:v>
      </x:c>
      <x:c r="E72" s="33" t="str">
        <x:v>액세서리</x:v>
      </x:c>
      <x:c r="F72" s="33" t="str">
        <x:v>EA</x:v>
      </x:c>
      <x:c r="G72" s="39" t="n">
        <x:v>4</x:v>
      </x:c>
      <x:c r="H72" s="39" t="n">
        <x:v>4800000</x:v>
      </x:c>
      <x:c r="I72" s="39" t="n">
        <x:v>19200000</x:v>
      </x:c>
      <x:c r="J72" s="39" t="n">
        <x:f>G72*H72</x:f>
        <x:v>19200000</x:v>
      </x:c>
      <x:c r="K72" s="33" t="str">
        <x:f>IF(I72=J72,"일치","불일치")</x:f>
        <x:v>일치</x:v>
      </x:c>
      <x:c r="L72" s="33" t="str">
        <x:v>현장 구성</x:v>
      </x:c>
      <x:c r="M72" s="34" t="str">
        <x:v>p.1 품목표</x:v>
      </x:c>
    </x:row>
    <x:row r="73" ht="24" customHeight="1">
      <x:c r="A73" s="32" t="str">
        <x:v>QUOTE-016</x:v>
      </x:c>
      <x:c r="B73" s="33" t="str">
        <x:v>견적서_16.pdf</x:v>
      </x:c>
      <x:c r="C73" s="33" t="n">
        <x:v>3</x:v>
      </x:c>
      <x:c r="D73" s="33" t="str">
        <x:v>LR2000</x:v>
      </x:c>
      <x:c r="E73" s="33" t="str">
        <x:v>시스템</x:v>
      </x:c>
      <x:c r="F73" s="33" t="str">
        <x:v>EA</x:v>
      </x:c>
      <x:c r="G73" s="39" t="n">
        <x:v>2</x:v>
      </x:c>
      <x:c r="H73" s="39" t="n">
        <x:v>5200000</x:v>
      </x:c>
      <x:c r="I73" s="39" t="n">
        <x:v>10400000</x:v>
      </x:c>
      <x:c r="J73" s="39" t="n">
        <x:f>G73*H73</x:f>
        <x:v>10400000</x:v>
      </x:c>
      <x:c r="K73" s="33" t="str">
        <x:f>IF(I73=J73,"일치","불일치")</x:f>
        <x:v>일치</x:v>
      </x:c>
      <x:c r="L73" s="33" t="str">
        <x:v>운영 구성</x:v>
      </x:c>
      <x:c r="M73" s="34" t="str">
        <x:v>p.1 품목표</x:v>
      </x:c>
    </x:row>
    <x:row r="74" ht="24" customHeight="1">
      <x:c r="A74" s="32" t="str">
        <x:v>QUOTE-017</x:v>
      </x:c>
      <x:c r="B74" s="33" t="str">
        <x:v>견적서_17.pdf</x:v>
      </x:c>
      <x:c r="C74" s="33" t="n">
        <x:v>1</x:v>
      </x:c>
      <x:c r="D74" s="33" t="str">
        <x:v>LP2000</x:v>
      </x:c>
      <x:c r="E74" s="33" t="str">
        <x:v>프로브</x:v>
      </x:c>
      <x:c r="F74" s="33" t="str">
        <x:v>EA</x:v>
      </x:c>
      <x:c r="G74" s="39" t="n">
        <x:v>11</x:v>
      </x:c>
      <x:c r="H74" s="39" t="n">
        <x:v>175000</x:v>
      </x:c>
      <x:c r="I74" s="39" t="n">
        <x:v>1925000</x:v>
      </x:c>
      <x:c r="J74" s="39" t="n">
        <x:f>G74*H74</x:f>
        <x:v>1925000</x:v>
      </x:c>
      <x:c r="K74" s="33" t="str">
        <x:f>IF(I74=J74,"일치","불일치")</x:f>
        <x:v>일치</x:v>
      </x:c>
      <x:c r="L74" s="33" t="str">
        <x:v>현장 사용</x:v>
      </x:c>
      <x:c r="M74" s="34" t="str">
        <x:v>p.1 품목표</x:v>
      </x:c>
    </x:row>
    <x:row r="75" ht="24" customHeight="1">
      <x:c r="A75" s="32" t="str">
        <x:v>QUOTE-017</x:v>
      </x:c>
      <x:c r="B75" s="33" t="str">
        <x:v>견적서_17.pdf</x:v>
      </x:c>
      <x:c r="C75" s="33" t="n">
        <x:v>2</x:v>
      </x:c>
      <x:c r="D75" s="33" t="str">
        <x:v>LR1000</x:v>
      </x:c>
      <x:c r="E75" s="33" t="str">
        <x:v>시스템</x:v>
      </x:c>
      <x:c r="F75" s="33" t="str">
        <x:v>EA</x:v>
      </x:c>
      <x:c r="G75" s="39" t="n">
        <x:v>3</x:v>
      </x:c>
      <x:c r="H75" s="39" t="n">
        <x:v>4500000</x:v>
      </x:c>
      <x:c r="I75" s="39" t="n">
        <x:v>13500000</x:v>
      </x:c>
      <x:c r="J75" s="39" t="n">
        <x:f>G75*H75</x:f>
        <x:v>13500000</x:v>
      </x:c>
      <x:c r="K75" s="33" t="str">
        <x:f>IF(I75=J75,"일치","불일치")</x:f>
        <x:v>일치</x:v>
      </x:c>
      <x:c r="L75" s="33" t="str">
        <x:v>기본 구성</x:v>
      </x:c>
      <x:c r="M75" s="34" t="str">
        <x:v>p.1 품목표</x:v>
      </x:c>
    </x:row>
    <x:row r="76" ht="24" customHeight="1">
      <x:c r="A76" s="32" t="str">
        <x:v>QUOTE-017</x:v>
      </x:c>
      <x:c r="B76" s="33" t="str">
        <x:v>견적서_17.pdf</x:v>
      </x:c>
      <x:c r="C76" s="33" t="n">
        <x:v>3</x:v>
      </x:c>
      <x:c r="D76" s="33" t="str">
        <x:v>LP1500</x:v>
      </x:c>
      <x:c r="E76" s="33" t="str">
        <x:v>프로브</x:v>
      </x:c>
      <x:c r="F76" s="33" t="str">
        <x:v>EA</x:v>
      </x:c>
      <x:c r="G76" s="39" t="n">
        <x:v>13</x:v>
      </x:c>
      <x:c r="H76" s="39" t="n">
        <x:v>145000</x:v>
      </x:c>
      <x:c r="I76" s="39" t="n">
        <x:v>1885000</x:v>
      </x:c>
      <x:c r="J76" s="39" t="n">
        <x:f>G76*H76</x:f>
        <x:v>1885000</x:v>
      </x:c>
      <x:c r="K76" s="33" t="str">
        <x:f>IF(I76=J76,"일치","불일치")</x:f>
        <x:v>일치</x:v>
      </x:c>
      <x:c r="L76" s="33" t="str">
        <x:v>추가 구성</x:v>
      </x:c>
      <x:c r="M76" s="34" t="str">
        <x:v>p.1 품목표</x:v>
      </x:c>
    </x:row>
    <x:row r="77" ht="24" customHeight="1">
      <x:c r="A77" s="32" t="str">
        <x:v>QUOTE-017</x:v>
      </x:c>
      <x:c r="B77" s="33" t="str">
        <x:v>견적서_17.pdf</x:v>
      </x:c>
      <x:c r="C77" s="33" t="n">
        <x:v>4</x:v>
      </x:c>
      <x:c r="D77" s="33" t="str">
        <x:v>LP100</x:v>
      </x:c>
      <x:c r="E77" s="33" t="str">
        <x:v>부품</x:v>
      </x:c>
      <x:c r="F77" s="33" t="str">
        <x:v>EA</x:v>
      </x:c>
      <x:c r="G77" s="39" t="n">
        <x:v>3</x:v>
      </x:c>
      <x:c r="H77" s="39" t="n">
        <x:v>180000</x:v>
      </x:c>
      <x:c r="I77" s="39" t="n">
        <x:v>540000</x:v>
      </x:c>
      <x:c r="J77" s="39" t="n">
        <x:f>G77*H77</x:f>
        <x:v>540000</x:v>
      </x:c>
      <x:c r="K77" s="33" t="str">
        <x:f>IF(I77=J77,"일치","불일치")</x:f>
        <x:v>일치</x:v>
      </x:c>
      <x:c r="L77" s="33" t="str">
        <x:v>교체용</x:v>
      </x:c>
      <x:c r="M77" s="34" t="str">
        <x:v>p.1 품목표</x:v>
      </x:c>
    </x:row>
    <x:row r="78" ht="24" customHeight="1">
      <x:c r="A78" s="32" t="str">
        <x:v>QUOTE-018</x:v>
      </x:c>
      <x:c r="B78" s="33" t="str">
        <x:v>견적서_18.pdf</x:v>
      </x:c>
      <x:c r="C78" s="33" t="n">
        <x:v>1</x:v>
      </x:c>
      <x:c r="D78" s="33" t="str">
        <x:v>LR2000</x:v>
      </x:c>
      <x:c r="E78" s="33" t="str">
        <x:v>시스템</x:v>
      </x:c>
      <x:c r="F78" s="33" t="str">
        <x:v>EA</x:v>
      </x:c>
      <x:c r="G78" s="39" t="n">
        <x:v>3</x:v>
      </x:c>
      <x:c r="H78" s="39" t="n">
        <x:v>5200000</x:v>
      </x:c>
      <x:c r="I78" s="39" t="n">
        <x:v>15600000</x:v>
      </x:c>
      <x:c r="J78" s="39" t="n">
        <x:f>G78*H78</x:f>
        <x:v>15600000</x:v>
      </x:c>
      <x:c r="K78" s="33" t="str">
        <x:f>IF(I78=J78,"일치","불일치")</x:f>
        <x:v>일치</x:v>
      </x:c>
      <x:c r="L78" s="33" t="str">
        <x:v>운영 구성</x:v>
      </x:c>
      <x:c r="M78" s="34" t="str">
        <x:v>p.1 품목표</x:v>
      </x:c>
    </x:row>
    <x:row r="79" ht="24" customHeight="1">
      <x:c r="A79" s="32" t="str">
        <x:v>QUOTE-018</x:v>
      </x:c>
      <x:c r="B79" s="33" t="str">
        <x:v>견적서_18.pdf</x:v>
      </x:c>
      <x:c r="C79" s="33" t="n">
        <x:v>2</x:v>
      </x:c>
      <x:c r="D79" s="33" t="str">
        <x:v>LP200</x:v>
      </x:c>
      <x:c r="E79" s="33" t="str">
        <x:v>부품</x:v>
      </x:c>
      <x:c r="F79" s="33" t="str">
        <x:v>EA</x:v>
      </x:c>
      <x:c r="G79" s="39" t="n">
        <x:v>10</x:v>
      </x:c>
      <x:c r="H79" s="39" t="n">
        <x:v>240000</x:v>
      </x:c>
      <x:c r="I79" s="39" t="n">
        <x:v>2400000</x:v>
      </x:c>
      <x:c r="J79" s="39" t="n">
        <x:f>G79*H79</x:f>
        <x:v>2400000</x:v>
      </x:c>
      <x:c r="K79" s="33" t="str">
        <x:f>IF(I79=J79,"일치","불일치")</x:f>
        <x:v>일치</x:v>
      </x:c>
      <x:c r="L79" s="33" t="str">
        <x:v>예비 구성</x:v>
      </x:c>
      <x:c r="M79" s="34" t="str">
        <x:v>p.1 품목표</x:v>
      </x:c>
    </x:row>
    <x:row r="80" ht="24" customHeight="1">
      <x:c r="A80" s="32" t="str">
        <x:v>QUOTE-018</x:v>
      </x:c>
      <x:c r="B80" s="33" t="str">
        <x:v>견적서_18.pdf</x:v>
      </x:c>
      <x:c r="C80" s="33" t="n">
        <x:v>3</x:v>
      </x:c>
      <x:c r="D80" s="33" t="str">
        <x:v>LP1000</x:v>
      </x:c>
      <x:c r="E80" s="33" t="str">
        <x:v>프로브</x:v>
      </x:c>
      <x:c r="F80" s="33" t="str">
        <x:v>EA</x:v>
      </x:c>
      <x:c r="G80" s="39" t="n">
        <x:v>16</x:v>
      </x:c>
      <x:c r="H80" s="39" t="n">
        <x:v>130000</x:v>
      </x:c>
      <x:c r="I80" s="39" t="n">
        <x:v>2080000</x:v>
      </x:c>
      <x:c r="J80" s="39" t="n">
        <x:f>G80*H80</x:f>
        <x:v>2080000</x:v>
      </x:c>
      <x:c r="K80" s="33" t="str">
        <x:f>IF(I80=J80,"일치","불일치")</x:f>
        <x:v>일치</x:v>
      </x:c>
      <x:c r="L80" s="33" t="str">
        <x:v>기본 소모품</x:v>
      </x:c>
      <x:c r="M80" s="34" t="str">
        <x:v>p.1 품목표</x:v>
      </x:c>
    </x:row>
    <x:row r="81" ht="24" customHeight="1">
      <x:c r="A81" s="32" t="str">
        <x:v>QUOTE-018</x:v>
      </x:c>
      <x:c r="B81" s="33" t="str">
        <x:v>견적서_18.pdf</x:v>
      </x:c>
      <x:c r="C81" s="33" t="n">
        <x:v>4</x:v>
      </x:c>
      <x:c r="D81" s="33" t="str">
        <x:v>LR-CORE3</x:v>
      </x:c>
      <x:c r="E81" s="33" t="str">
        <x:v>액세서리</x:v>
      </x:c>
      <x:c r="F81" s="33" t="str">
        <x:v>EA</x:v>
      </x:c>
      <x:c r="G81" s="39" t="n">
        <x:v>1</x:v>
      </x:c>
      <x:c r="H81" s="39" t="n">
        <x:v>60000</x:v>
      </x:c>
      <x:c r="I81" s="39" t="n">
        <x:v>60000</x:v>
      </x:c>
      <x:c r="J81" s="39" t="n">
        <x:f>G81*H81</x:f>
        <x:v>60000</x:v>
      </x:c>
      <x:c r="K81" s="33" t="str">
        <x:f>IF(I81=J81,"일치","불일치")</x:f>
        <x:v>일치</x:v>
      </x:c>
      <x:c r="L81" s="33" t="str">
        <x:v>확장 구성</x:v>
      </x:c>
      <x:c r="M81" s="34" t="str">
        <x:v>p.1 품목표</x:v>
      </x:c>
    </x:row>
    <x:row r="82" ht="24" customHeight="1">
      <x:c r="A82" s="32" t="str">
        <x:v>QUOTE-019</x:v>
      </x:c>
      <x:c r="B82" s="33" t="str">
        <x:v>견적서_19.pdf</x:v>
      </x:c>
      <x:c r="C82" s="33" t="n">
        <x:v>1</x:v>
      </x:c>
      <x:c r="D82" s="33" t="str">
        <x:v>LP1500</x:v>
      </x:c>
      <x:c r="E82" s="33" t="str">
        <x:v>프로브</x:v>
      </x:c>
      <x:c r="F82" s="33" t="str">
        <x:v>EA</x:v>
      </x:c>
      <x:c r="G82" s="39" t="n">
        <x:v>10</x:v>
      </x:c>
      <x:c r="H82" s="39" t="n">
        <x:v>145000</x:v>
      </x:c>
      <x:c r="I82" s="39" t="n">
        <x:v>1450000</x:v>
      </x:c>
      <x:c r="J82" s="39" t="n">
        <x:f>G82*H82</x:f>
        <x:v>1450000</x:v>
      </x:c>
      <x:c r="K82" s="33" t="str">
        <x:f>IF(I82=J82,"일치","불일치")</x:f>
        <x:v>일치</x:v>
      </x:c>
      <x:c r="L82" s="33" t="str">
        <x:v>현장 사용</x:v>
      </x:c>
      <x:c r="M82" s="34" t="str">
        <x:v>p.1 품목표</x:v>
      </x:c>
    </x:row>
    <x:row r="83" ht="24" customHeight="1">
      <x:c r="A83" s="32" t="str">
        <x:v>QUOTE-019</x:v>
      </x:c>
      <x:c r="B83" s="33" t="str">
        <x:v>견적서_19.pdf</x:v>
      </x:c>
      <x:c r="C83" s="33" t="n">
        <x:v>2</x:v>
      </x:c>
      <x:c r="D83" s="33" t="str">
        <x:v>LR-CORE1</x:v>
      </x:c>
      <x:c r="E83" s="33" t="str">
        <x:v>액세서리</x:v>
      </x:c>
      <x:c r="F83" s="33" t="str">
        <x:v>EA</x:v>
      </x:c>
      <x:c r="G83" s="39" t="n">
        <x:v>1</x:v>
      </x:c>
      <x:c r="H83" s="39" t="n">
        <x:v>4200000</x:v>
      </x:c>
      <x:c r="I83" s="39" t="n">
        <x:v>4200000</x:v>
      </x:c>
      <x:c r="J83" s="39" t="n">
        <x:f>G83*H83</x:f>
        <x:v>4200000</x:v>
      </x:c>
      <x:c r="K83" s="33" t="str">
        <x:f>IF(I83=J83,"일치","불일치")</x:f>
        <x:v>일치</x:v>
      </x:c>
      <x:c r="L83" s="33" t="str">
        <x:v>확장 구성</x:v>
      </x:c>
      <x:c r="M83" s="34" t="str">
        <x:v>p.1 품목표</x:v>
      </x:c>
    </x:row>
    <x:row r="84" ht="24" customHeight="1">
      <x:c r="A84" s="32" t="str">
        <x:v>QUOTE-019</x:v>
      </x:c>
      <x:c r="B84" s="33" t="str">
        <x:v>견적서_19.pdf</x:v>
      </x:c>
      <x:c r="C84" s="33" t="n">
        <x:v>3</x:v>
      </x:c>
      <x:c r="D84" s="33" t="str">
        <x:v>LR2000</x:v>
      </x:c>
      <x:c r="E84" s="33" t="str">
        <x:v>시스템</x:v>
      </x:c>
      <x:c r="F84" s="33" t="str">
        <x:v>EA</x:v>
      </x:c>
      <x:c r="G84" s="39" t="n">
        <x:v>1</x:v>
      </x:c>
      <x:c r="H84" s="39" t="n">
        <x:v>5200000</x:v>
      </x:c>
      <x:c r="I84" s="39" t="n">
        <x:v>5200000</x:v>
      </x:c>
      <x:c r="J84" s="39" t="n">
        <x:f>G84*H84</x:f>
        <x:v>5200000</x:v>
      </x:c>
      <x:c r="K84" s="33" t="str">
        <x:f>IF(I84=J84,"일치","불일치")</x:f>
        <x:v>일치</x:v>
      </x:c>
      <x:c r="L84" s="33" t="str">
        <x:v>기본 구성</x:v>
      </x:c>
      <x:c r="M84" s="34" t="str">
        <x:v>p.1 품목표</x:v>
      </x:c>
    </x:row>
    <x:row r="85" ht="24" customHeight="1">
      <x:c r="A85" s="32" t="str">
        <x:v>QUOTE-019</x:v>
      </x:c>
      <x:c r="B85" s="33" t="str">
        <x:v>견적서_19.pdf</x:v>
      </x:c>
      <x:c r="C85" s="33" t="n">
        <x:v>4</x:v>
      </x:c>
      <x:c r="D85" s="33" t="str">
        <x:v>LP2000</x:v>
      </x:c>
      <x:c r="E85" s="33" t="str">
        <x:v>프로브</x:v>
      </x:c>
      <x:c r="F85" s="33" t="str">
        <x:v>EA</x:v>
      </x:c>
      <x:c r="G85" s="39" t="n">
        <x:v>14</x:v>
      </x:c>
      <x:c r="H85" s="39" t="n">
        <x:v>175000</x:v>
      </x:c>
      <x:c r="I85" s="39" t="n">
        <x:v>2450000</x:v>
      </x:c>
      <x:c r="J85" s="39" t="n">
        <x:f>G85*H85</x:f>
        <x:v>2450000</x:v>
      </x:c>
      <x:c r="K85" s="33" t="str">
        <x:f>IF(I85=J85,"일치","불일치")</x:f>
        <x:v>일치</x:v>
      </x:c>
      <x:c r="L85" s="33" t="str">
        <x:v>추가 구성</x:v>
      </x:c>
      <x:c r="M85" s="34" t="str">
        <x:v>p.1 품목표</x:v>
      </x:c>
    </x:row>
    <x:row r="86" ht="24" customHeight="1">
      <x:c r="A86" s="32" t="str">
        <x:v>QUOTE-019</x:v>
      </x:c>
      <x:c r="B86" s="33" t="str">
        <x:v>견적서_19.pdf</x:v>
      </x:c>
      <x:c r="C86" s="33" t="n">
        <x:v>5</x:v>
      </x:c>
      <x:c r="D86" s="33" t="str">
        <x:v>LP1000</x:v>
      </x:c>
      <x:c r="E86" s="33" t="str">
        <x:v>프로브</x:v>
      </x:c>
      <x:c r="F86" s="33" t="str">
        <x:v>EA</x:v>
      </x:c>
      <x:c r="G86" s="39" t="n">
        <x:v>18</x:v>
      </x:c>
      <x:c r="H86" s="39" t="n">
        <x:v>130000</x:v>
      </x:c>
      <x:c r="I86" s="39" t="n">
        <x:v>2340000</x:v>
      </x:c>
      <x:c r="J86" s="39" t="n">
        <x:f>G86*H86</x:f>
        <x:v>2340000</x:v>
      </x:c>
      <x:c r="K86" s="33" t="str">
        <x:f>IF(I86=J86,"일치","불일치")</x:f>
        <x:v>일치</x:v>
      </x:c>
      <x:c r="L86" s="33" t="str">
        <x:v>현장 사용</x:v>
      </x:c>
      <x:c r="M86" s="34" t="str">
        <x:v>p.1 품목표</x:v>
      </x:c>
    </x:row>
    <x:row r="87" ht="24" customHeight="1">
      <x:c r="A87" s="32" t="str">
        <x:v>QUOTE-020</x:v>
      </x:c>
      <x:c r="B87" s="33" t="str">
        <x:v>견적서_20.pdf</x:v>
      </x:c>
      <x:c r="C87" s="33" t="n">
        <x:v>1</x:v>
      </x:c>
      <x:c r="D87" s="33" t="str">
        <x:v>LP1500</x:v>
      </x:c>
      <x:c r="E87" s="33" t="str">
        <x:v>프로브</x:v>
      </x:c>
      <x:c r="F87" s="33" t="str">
        <x:v>EA</x:v>
      </x:c>
      <x:c r="G87" s="39" t="n">
        <x:v>9</x:v>
      </x:c>
      <x:c r="H87" s="39" t="n">
        <x:v>145000</x:v>
      </x:c>
      <x:c r="I87" s="39" t="n">
        <x:v>1305000</x:v>
      </x:c>
      <x:c r="J87" s="39" t="n">
        <x:f>G87*H87</x:f>
        <x:v>1305000</x:v>
      </x:c>
      <x:c r="K87" s="33" t="str">
        <x:f>IF(I87=J87,"일치","불일치")</x:f>
        <x:v>일치</x:v>
      </x:c>
      <x:c r="L87" s="33" t="str">
        <x:v>현장 사용</x:v>
      </x:c>
      <x:c r="M87" s="34" t="str">
        <x:v>p.1 품목표</x:v>
      </x:c>
    </x:row>
    <x:row r="88" ht="24" customHeight="1">
      <x:c r="A88" s="32" t="str">
        <x:v>QUOTE-020</x:v>
      </x:c>
      <x:c r="B88" s="33" t="str">
        <x:v>견적서_20.pdf</x:v>
      </x:c>
      <x:c r="C88" s="33" t="n">
        <x:v>2</x:v>
      </x:c>
      <x:c r="D88" s="33" t="str">
        <x:v>LR-CORE3</x:v>
      </x:c>
      <x:c r="E88" s="33" t="str">
        <x:v>액세서리</x:v>
      </x:c>
      <x:c r="F88" s="33" t="str">
        <x:v>EA</x:v>
      </x:c>
      <x:c r="G88" s="39" t="n">
        <x:v>1</x:v>
      </x:c>
      <x:c r="H88" s="39" t="n">
        <x:v>60000</x:v>
      </x:c>
      <x:c r="I88" s="39" t="n">
        <x:v>60000</x:v>
      </x:c>
      <x:c r="J88" s="39" t="n">
        <x:f>G88*H88</x:f>
        <x:v>60000</x:v>
      </x:c>
      <x:c r="K88" s="33" t="str">
        <x:f>IF(I88=J88,"일치","불일치")</x:f>
        <x:v>일치</x:v>
      </x:c>
      <x:c r="L88" s="33" t="str">
        <x:v>확장 구성</x:v>
      </x:c>
      <x:c r="M88" s="34" t="str">
        <x:v>p.1 품목표</x:v>
      </x:c>
    </x:row>
    <x:row r="89" ht="24" customHeight="1">
      <x:c r="A89" s="32" t="str">
        <x:v>QUOTE-020</x:v>
      </x:c>
      <x:c r="B89" s="33" t="str">
        <x:v>견적서_20.pdf</x:v>
      </x:c>
      <x:c r="C89" s="33" t="n">
        <x:v>3</x:v>
      </x:c>
      <x:c r="D89" s="33" t="str">
        <x:v>LP100</x:v>
      </x:c>
      <x:c r="E89" s="33" t="str">
        <x:v>부품</x:v>
      </x:c>
      <x:c r="F89" s="33" t="str">
        <x:v>EA</x:v>
      </x:c>
      <x:c r="G89" s="39" t="n">
        <x:v>4</x:v>
      </x:c>
      <x:c r="H89" s="39" t="n">
        <x:v>180000</x:v>
      </x:c>
      <x:c r="I89" s="39" t="n">
        <x:v>720000</x:v>
      </x:c>
      <x:c r="J89" s="39" t="n">
        <x:f>G89*H89</x:f>
        <x:v>720000</x:v>
      </x:c>
      <x:c r="K89" s="33" t="str">
        <x:f>IF(I89=J89,"일치","불일치")</x:f>
        <x:v>일치</x:v>
      </x:c>
      <x:c r="L89" s="33" t="str">
        <x:v>예비 구성</x:v>
      </x:c>
      <x:c r="M89" s="34" t="str">
        <x:v>p.1 품목표</x:v>
      </x:c>
    </x:row>
    <x:row r="90" ht="24" customHeight="1">
      <x:c r="A90" s="32" t="str">
        <x:v>QUOTE-020</x:v>
      </x:c>
      <x:c r="B90" s="33" t="str">
        <x:v>견적서_20.pdf</x:v>
      </x:c>
      <x:c r="C90" s="33" t="n">
        <x:v>4</x:v>
      </x:c>
      <x:c r="D90" s="33" t="str">
        <x:v>LP200</x:v>
      </x:c>
      <x:c r="E90" s="33" t="str">
        <x:v>부품</x:v>
      </x:c>
      <x:c r="F90" s="33" t="str">
        <x:v>EA</x:v>
      </x:c>
      <x:c r="G90" s="39" t="n">
        <x:v>4</x:v>
      </x:c>
      <x:c r="H90" s="39" t="n">
        <x:v>240000</x:v>
      </x:c>
      <x:c r="I90" s="39" t="n">
        <x:v>960000</x:v>
      </x:c>
      <x:c r="J90" s="39" t="n">
        <x:f>G90*H90</x:f>
        <x:v>960000</x:v>
      </x:c>
      <x:c r="K90" s="33" t="str">
        <x:f>IF(I90=J90,"일치","불일치")</x:f>
        <x:v>일치</x:v>
      </x:c>
      <x:c r="L90" s="33" t="str">
        <x:v>교체용</x:v>
      </x:c>
      <x:c r="M90" s="34" t="str">
        <x:v>p.1 품목표</x:v>
      </x:c>
    </x:row>
    <x:row r="91" ht="24" customHeight="1">
      <x:c r="A91" s="32" t="str">
        <x:v>QUOTE-020</x:v>
      </x:c>
      <x:c r="B91" s="33" t="str">
        <x:v>견적서_20.pdf</x:v>
      </x:c>
      <x:c r="C91" s="33" t="n">
        <x:v>5</x:v>
      </x:c>
      <x:c r="D91" s="33" t="str">
        <x:v>LR-PRO</x:v>
      </x:c>
      <x:c r="E91" s="33" t="str">
        <x:v>시스템</x:v>
      </x:c>
      <x:c r="F91" s="33" t="str">
        <x:v>EA</x:v>
      </x:c>
      <x:c r="G91" s="39" t="n">
        <x:v>2</x:v>
      </x:c>
      <x:c r="H91" s="39" t="n">
        <x:v>6000000</x:v>
      </x:c>
      <x:c r="I91" s="39" t="n">
        <x:v>12000000</x:v>
      </x:c>
      <x:c r="J91" s="39" t="n">
        <x:f>G91*H91</x:f>
        <x:v>12000000</x:v>
      </x:c>
      <x:c r="K91" s="33" t="str">
        <x:f>IF(I91=J91,"일치","불일치")</x:f>
        <x:v>일치</x:v>
      </x:c>
      <x:c r="L91" s="33" t="str">
        <x:v>설치 대상</x:v>
      </x:c>
      <x:c r="M91" s="34" t="str">
        <x:v>p.1 품목표</x:v>
      </x:c>
    </x:row>
    <x:row r="92" ht="24" customHeight="1">
      <x:c r="A92" s="32" t="str">
        <x:v>QUOTE-020</x:v>
      </x:c>
      <x:c r="B92" s="33" t="str">
        <x:v>견적서_20.pdf</x:v>
      </x:c>
      <x:c r="C92" s="33" t="n">
        <x:v>6</x:v>
      </x:c>
      <x:c r="D92" s="33" t="str">
        <x:v>LP2000</x:v>
      </x:c>
      <x:c r="E92" s="33" t="str">
        <x:v>프로브</x:v>
      </x:c>
      <x:c r="F92" s="33" t="str">
        <x:v>EA</x:v>
      </x:c>
      <x:c r="G92" s="39" t="n">
        <x:v>11</x:v>
      </x:c>
      <x:c r="H92" s="39" t="n">
        <x:v>175000</x:v>
      </x:c>
      <x:c r="I92" s="39" t="n">
        <x:v>1925000</x:v>
      </x:c>
      <x:c r="J92" s="39" t="n">
        <x:f>G92*H92</x:f>
        <x:v>1925000</x:v>
      </x:c>
      <x:c r="K92" s="33" t="str">
        <x:f>IF(I92=J92,"일치","불일치")</x:f>
        <x:v>일치</x:v>
      </x:c>
      <x:c r="L92" s="33" t="str">
        <x:v>현장 사용</x:v>
      </x:c>
      <x:c r="M92" s="34" t="str">
        <x:v>p.1 품목표</x:v>
      </x:c>
    </x:row>
    <x:row r="93" ht="24" customHeight="1">
      <x:c r="A93" s="32" t="str">
        <x:v>QUOTE-021</x:v>
      </x:c>
      <x:c r="B93" s="33" t="str">
        <x:v>견적서_21.pdf</x:v>
      </x:c>
      <x:c r="C93" s="33" t="n">
        <x:v>1</x:v>
      </x:c>
      <x:c r="D93" s="33" t="str">
        <x:v>LP100</x:v>
      </x:c>
      <x:c r="E93" s="33" t="str">
        <x:v>부품</x:v>
      </x:c>
      <x:c r="F93" s="33" t="str">
        <x:v>EA</x:v>
      </x:c>
      <x:c r="G93" s="39" t="n">
        <x:v>9</x:v>
      </x:c>
      <x:c r="H93" s="39" t="n">
        <x:v>180000</x:v>
      </x:c>
      <x:c r="I93" s="39" t="n">
        <x:v>1620000</x:v>
      </x:c>
      <x:c r="J93" s="39" t="n">
        <x:f>G93*H93</x:f>
        <x:v>1620000</x:v>
      </x:c>
      <x:c r="K93" s="33" t="str">
        <x:f>IF(I93=J93,"일치","불일치")</x:f>
        <x:v>일치</x:v>
      </x:c>
      <x:c r="L93" s="33" t="str">
        <x:v>유지보수</x:v>
      </x:c>
      <x:c r="M93" s="34" t="str">
        <x:v>p.1 품목표</x:v>
      </x:c>
    </x:row>
    <x:row r="94" ht="24" customHeight="1">
      <x:c r="A94" s="32" t="str">
        <x:v>QUOTE-021</x:v>
      </x:c>
      <x:c r="B94" s="33" t="str">
        <x:v>견적서_21.pdf</x:v>
      </x:c>
      <x:c r="C94" s="33" t="n">
        <x:v>2</x:v>
      </x:c>
      <x:c r="D94" s="33" t="str">
        <x:v>LP1500</x:v>
      </x:c>
      <x:c r="E94" s="33" t="str">
        <x:v>프로브</x:v>
      </x:c>
      <x:c r="F94" s="33" t="str">
        <x:v>EA</x:v>
      </x:c>
      <x:c r="G94" s="39" t="n">
        <x:v>14</x:v>
      </x:c>
      <x:c r="H94" s="39" t="n">
        <x:v>145000</x:v>
      </x:c>
      <x:c r="I94" s="39" t="n">
        <x:v>2030000</x:v>
      </x:c>
      <x:c r="J94" s="39" t="n">
        <x:f>G94*H94</x:f>
        <x:v>2030000</x:v>
      </x:c>
      <x:c r="K94" s="33" t="str">
        <x:f>IF(I94=J94,"일치","불일치")</x:f>
        <x:v>일치</x:v>
      </x:c>
      <x:c r="L94" s="33" t="str">
        <x:v>현장 사용</x:v>
      </x:c>
      <x:c r="M94" s="34" t="str">
        <x:v>p.1 품목표</x:v>
      </x:c>
    </x:row>
    <x:row r="95" ht="24" customHeight="1">
      <x:c r="A95" s="32" t="str">
        <x:v>QUOTE-021</x:v>
      </x:c>
      <x:c r="B95" s="33" t="str">
        <x:v>견적서_21.pdf</x:v>
      </x:c>
      <x:c r="C95" s="33" t="n">
        <x:v>3</x:v>
      </x:c>
      <x:c r="D95" s="33" t="str">
        <x:v>LR1000</x:v>
      </x:c>
      <x:c r="E95" s="33" t="str">
        <x:v>시스템</x:v>
      </x:c>
      <x:c r="F95" s="33" t="str">
        <x:v>EA</x:v>
      </x:c>
      <x:c r="G95" s="39" t="n">
        <x:v>2</x:v>
      </x:c>
      <x:c r="H95" s="39" t="n">
        <x:v>4500000</x:v>
      </x:c>
      <x:c r="I95" s="39" t="n">
        <x:v>9000000</x:v>
      </x:c>
      <x:c r="J95" s="39" t="n">
        <x:f>G95*H95</x:f>
        <x:v>9000000</x:v>
      </x:c>
      <x:c r="K95" s="33" t="str">
        <x:f>IF(I95=J95,"일치","불일치")</x:f>
        <x:v>일치</x:v>
      </x:c>
      <x:c r="L95" s="33" t="str">
        <x:v>운영 구성</x:v>
      </x:c>
      <x:c r="M95" s="34" t="str">
        <x:v>p.1 품목표</x:v>
      </x:c>
    </x:row>
    <x:row r="96" ht="24" customHeight="1">
      <x:c r="A96" s="32" t="str">
        <x:v>QUOTE-022</x:v>
      </x:c>
      <x:c r="B96" s="33" t="str">
        <x:v>견적서_22.pdf</x:v>
      </x:c>
      <x:c r="C96" s="33" t="n">
        <x:v>1</x:v>
      </x:c>
      <x:c r="D96" s="33" t="str">
        <x:v>LP100</x:v>
      </x:c>
      <x:c r="E96" s="33" t="str">
        <x:v>부품</x:v>
      </x:c>
      <x:c r="F96" s="33" t="str">
        <x:v>EA</x:v>
      </x:c>
      <x:c r="G96" s="39" t="n">
        <x:v>8</x:v>
      </x:c>
      <x:c r="H96" s="39" t="n">
        <x:v>180000</x:v>
      </x:c>
      <x:c r="I96" s="39" t="n">
        <x:v>1440000</x:v>
      </x:c>
      <x:c r="J96" s="39" t="n">
        <x:f>G96*H96</x:f>
        <x:v>1440000</x:v>
      </x:c>
      <x:c r="K96" s="33" t="str">
        <x:f>IF(I96=J96,"일치","불일치")</x:f>
        <x:v>일치</x:v>
      </x:c>
      <x:c r="L96" s="33" t="str">
        <x:v>예비 구성</x:v>
      </x:c>
      <x:c r="M96" s="34" t="str">
        <x:v>p.1 품목표</x:v>
      </x:c>
    </x:row>
    <x:row r="97" ht="24" customHeight="1">
      <x:c r="A97" s="32" t="str">
        <x:v>QUOTE-022</x:v>
      </x:c>
      <x:c r="B97" s="33" t="str">
        <x:v>견적서_22.pdf</x:v>
      </x:c>
      <x:c r="C97" s="33" t="n">
        <x:v>2</x:v>
      </x:c>
      <x:c r="D97" s="33" t="str">
        <x:v>LR-CORE3</x:v>
      </x:c>
      <x:c r="E97" s="33" t="str">
        <x:v>액세서리</x:v>
      </x:c>
      <x:c r="F97" s="33" t="str">
        <x:v>EA</x:v>
      </x:c>
      <x:c r="G97" s="39" t="n">
        <x:v>5</x:v>
      </x:c>
      <x:c r="H97" s="39" t="n">
        <x:v>60000</x:v>
      </x:c>
      <x:c r="I97" s="39" t="n">
        <x:v>300000</x:v>
      </x:c>
      <x:c r="J97" s="39" t="n">
        <x:f>G97*H97</x:f>
        <x:v>300000</x:v>
      </x:c>
      <x:c r="K97" s="33" t="str">
        <x:f>IF(I97=J97,"일치","불일치")</x:f>
        <x:v>일치</x:v>
      </x:c>
      <x:c r="L97" s="33" t="str">
        <x:v>현장 구성</x:v>
      </x:c>
      <x:c r="M97" s="34" t="str">
        <x:v>p.1 품목표</x:v>
      </x:c>
    </x:row>
    <x:row r="98" ht="24" customHeight="1">
      <x:c r="A98" s="32" t="str">
        <x:v>QUOTE-022</x:v>
      </x:c>
      <x:c r="B98" s="33" t="str">
        <x:v>견적서_22.pdf</x:v>
      </x:c>
      <x:c r="C98" s="33" t="n">
        <x:v>3</x:v>
      </x:c>
      <x:c r="D98" s="33" t="str">
        <x:v>LR-CORE1</x:v>
      </x:c>
      <x:c r="E98" s="33" t="str">
        <x:v>액세서리</x:v>
      </x:c>
      <x:c r="F98" s="33" t="str">
        <x:v>EA</x:v>
      </x:c>
      <x:c r="G98" s="39" t="n">
        <x:v>2</x:v>
      </x:c>
      <x:c r="H98" s="39" t="n">
        <x:v>4200000</x:v>
      </x:c>
      <x:c r="I98" s="39" t="n">
        <x:v>8400000</x:v>
      </x:c>
      <x:c r="J98" s="39" t="n">
        <x:f>G98*H98</x:f>
        <x:v>8400000</x:v>
      </x:c>
      <x:c r="K98" s="33" t="str">
        <x:f>IF(I98=J98,"일치","불일치")</x:f>
        <x:v>일치</x:v>
      </x:c>
      <x:c r="L98" s="33" t="str">
        <x:v>확장 구성</x:v>
      </x:c>
      <x:c r="M98" s="34" t="str">
        <x:v>p.1 품목표</x:v>
      </x:c>
    </x:row>
    <x:row r="99" ht="24" customHeight="1">
      <x:c r="A99" s="32" t="str">
        <x:v>QUOTE-022</x:v>
      </x:c>
      <x:c r="B99" s="33" t="str">
        <x:v>견적서_22.pdf</x:v>
      </x:c>
      <x:c r="C99" s="33" t="n">
        <x:v>4</x:v>
      </x:c>
      <x:c r="D99" s="33" t="str">
        <x:v>LR2000</x:v>
      </x:c>
      <x:c r="E99" s="33" t="str">
        <x:v>시스템</x:v>
      </x:c>
      <x:c r="F99" s="33" t="str">
        <x:v>EA</x:v>
      </x:c>
      <x:c r="G99" s="39" t="n">
        <x:v>1</x:v>
      </x:c>
      <x:c r="H99" s="39" t="n">
        <x:v>5200000</x:v>
      </x:c>
      <x:c r="I99" s="39" t="n">
        <x:v>5200000</x:v>
      </x:c>
      <x:c r="J99" s="39" t="n">
        <x:f>G99*H99</x:f>
        <x:v>5200000</x:v>
      </x:c>
      <x:c r="K99" s="33" t="str">
        <x:f>IF(I99=J99,"일치","불일치")</x:f>
        <x:v>일치</x:v>
      </x:c>
      <x:c r="L99" s="33" t="str">
        <x:v>운영 구성</x:v>
      </x:c>
      <x:c r="M99" s="34" t="str">
        <x:v>p.1 품목표</x:v>
      </x:c>
    </x:row>
    <x:row r="100" ht="24" customHeight="1">
      <x:c r="A100" s="32" t="str">
        <x:v>QUOTE-023</x:v>
      </x:c>
      <x:c r="B100" s="33" t="str">
        <x:v>견적서_23.pdf</x:v>
      </x:c>
      <x:c r="C100" s="33" t="n">
        <x:v>1</x:v>
      </x:c>
      <x:c r="D100" s="33" t="str">
        <x:v>LP1500</x:v>
      </x:c>
      <x:c r="E100" s="33" t="str">
        <x:v>프로브</x:v>
      </x:c>
      <x:c r="F100" s="33" t="str">
        <x:v>EA</x:v>
      </x:c>
      <x:c r="G100" s="39" t="n">
        <x:v>6</x:v>
      </x:c>
      <x:c r="H100" s="39" t="n">
        <x:v>145000</x:v>
      </x:c>
      <x:c r="I100" s="39" t="n">
        <x:v>870000</x:v>
      </x:c>
      <x:c r="J100" s="39" t="n">
        <x:f>G100*H100</x:f>
        <x:v>870000</x:v>
      </x:c>
      <x:c r="K100" s="33" t="str">
        <x:f>IF(I100=J100,"일치","불일치")</x:f>
        <x:v>일치</x:v>
      </x:c>
      <x:c r="L100" s="33" t="str">
        <x:v>추가 구성</x:v>
      </x:c>
      <x:c r="M100" s="34" t="str">
        <x:v>p.1 품목표</x:v>
      </x:c>
    </x:row>
    <x:row r="101" ht="24" customHeight="1">
      <x:c r="A101" s="32" t="str">
        <x:v>QUOTE-023</x:v>
      </x:c>
      <x:c r="B101" s="33" t="str">
        <x:v>견적서_23.pdf</x:v>
      </x:c>
      <x:c r="C101" s="33" t="n">
        <x:v>2</x:v>
      </x:c>
      <x:c r="D101" s="33" t="str">
        <x:v>LP200</x:v>
      </x:c>
      <x:c r="E101" s="33" t="str">
        <x:v>부품</x:v>
      </x:c>
      <x:c r="F101" s="33" t="str">
        <x:v>EA</x:v>
      </x:c>
      <x:c r="G101" s="39" t="n">
        <x:v>2</x:v>
      </x:c>
      <x:c r="H101" s="39" t="n">
        <x:v>240000</x:v>
      </x:c>
      <x:c r="I101" s="39" t="n">
        <x:v>480000</x:v>
      </x:c>
      <x:c r="J101" s="39" t="n">
        <x:f>G101*H101</x:f>
        <x:v>480000</x:v>
      </x:c>
      <x:c r="K101" s="33" t="str">
        <x:f>IF(I101=J101,"일치","불일치")</x:f>
        <x:v>일치</x:v>
      </x:c>
      <x:c r="L101" s="33" t="str">
        <x:v>유지보수</x:v>
      </x:c>
      <x:c r="M101" s="34" t="str">
        <x:v>p.1 품목표</x:v>
      </x:c>
    </x:row>
    <x:row r="102" ht="24" customHeight="1">
      <x:c r="A102" s="32" t="str">
        <x:v>QUOTE-023</x:v>
      </x:c>
      <x:c r="B102" s="33" t="str">
        <x:v>견적서_23.pdf</x:v>
      </x:c>
      <x:c r="C102" s="33" t="n">
        <x:v>3</x:v>
      </x:c>
      <x:c r="D102" s="33" t="str">
        <x:v>LR-CORE1</x:v>
      </x:c>
      <x:c r="E102" s="33" t="str">
        <x:v>액세서리</x:v>
      </x:c>
      <x:c r="F102" s="33" t="str">
        <x:v>EA</x:v>
      </x:c>
      <x:c r="G102" s="39" t="n">
        <x:v>4</x:v>
      </x:c>
      <x:c r="H102" s="39" t="n">
        <x:v>4200000</x:v>
      </x:c>
      <x:c r="I102" s="39" t="n">
        <x:v>16800000</x:v>
      </x:c>
      <x:c r="J102" s="39" t="n">
        <x:f>G102*H102</x:f>
        <x:v>16800000</x:v>
      </x:c>
      <x:c r="K102" s="33" t="str">
        <x:f>IF(I102=J102,"일치","불일치")</x:f>
        <x:v>일치</x:v>
      </x:c>
      <x:c r="L102" s="33" t="str">
        <x:v>운영 보조</x:v>
      </x:c>
      <x:c r="M102" s="34" t="str">
        <x:v>p.1 품목표</x:v>
      </x:c>
    </x:row>
    <x:row r="103" ht="24" customHeight="1">
      <x:c r="A103" s="32" t="str">
        <x:v>QUOTE-023</x:v>
      </x:c>
      <x:c r="B103" s="33" t="str">
        <x:v>견적서_23.pdf</x:v>
      </x:c>
      <x:c r="C103" s="33" t="n">
        <x:v>4</x:v>
      </x:c>
      <x:c r="D103" s="33" t="str">
        <x:v>LR-CORE2</x:v>
      </x:c>
      <x:c r="E103" s="33" t="str">
        <x:v>액세서리</x:v>
      </x:c>
      <x:c r="F103" s="33" t="str">
        <x:v>EA</x:v>
      </x:c>
      <x:c r="G103" s="39" t="n">
        <x:v>5</x:v>
      </x:c>
      <x:c r="H103" s="39" t="n">
        <x:v>4800000</x:v>
      </x:c>
      <x:c r="I103" s="39" t="n">
        <x:v>24000000</x:v>
      </x:c>
      <x:c r="J103" s="39" t="n">
        <x:f>G103*H103</x:f>
        <x:v>24000000</x:v>
      </x:c>
      <x:c r="K103" s="33" t="str">
        <x:f>IF(I103=J103,"일치","불일치")</x:f>
        <x:v>일치</x:v>
      </x:c>
      <x:c r="L103" s="33" t="str">
        <x:v>현장 구성</x:v>
      </x:c>
      <x:c r="M103" s="34" t="str">
        <x:v>p.1 품목표</x:v>
      </x:c>
    </x:row>
    <x:row r="104" ht="24" customHeight="1">
      <x:c r="A104" s="32" t="str">
        <x:v>QUOTE-023</x:v>
      </x:c>
      <x:c r="B104" s="33" t="str">
        <x:v>견적서_23.pdf</x:v>
      </x:c>
      <x:c r="C104" s="33" t="n">
        <x:v>5</x:v>
      </x:c>
      <x:c r="D104" s="33" t="str">
        <x:v>LR1000</x:v>
      </x:c>
      <x:c r="E104" s="33" t="str">
        <x:v>시스템</x:v>
      </x:c>
      <x:c r="F104" s="33" t="str">
        <x:v>EA</x:v>
      </x:c>
      <x:c r="G104" s="39" t="n">
        <x:v>2</x:v>
      </x:c>
      <x:c r="H104" s="39" t="n">
        <x:v>4500000</x:v>
      </x:c>
      <x:c r="I104" s="39" t="n">
        <x:v>9000000</x:v>
      </x:c>
      <x:c r="J104" s="39" t="n">
        <x:f>G104*H104</x:f>
        <x:v>9000000</x:v>
      </x:c>
      <x:c r="K104" s="33" t="str">
        <x:f>IF(I104=J104,"일치","불일치")</x:f>
        <x:v>일치</x:v>
      </x:c>
      <x:c r="L104" s="33" t="str">
        <x:v>기본 구성</x:v>
      </x:c>
      <x:c r="M104" s="34" t="str">
        <x:v>p.1 품목표</x:v>
      </x:c>
    </x:row>
    <x:row r="105" ht="24" customHeight="1">
      <x:c r="A105" s="32" t="str">
        <x:v>QUOTE-023</x:v>
      </x:c>
      <x:c r="B105" s="33" t="str">
        <x:v>견적서_23.pdf</x:v>
      </x:c>
      <x:c r="C105" s="33" t="n">
        <x:v>6</x:v>
      </x:c>
      <x:c r="D105" s="33" t="str">
        <x:v>LP2000</x:v>
      </x:c>
      <x:c r="E105" s="33" t="str">
        <x:v>프로브</x:v>
      </x:c>
      <x:c r="F105" s="33" t="str">
        <x:v>EA</x:v>
      </x:c>
      <x:c r="G105" s="39" t="n">
        <x:v>18</x:v>
      </x:c>
      <x:c r="H105" s="39" t="n">
        <x:v>175000</x:v>
      </x:c>
      <x:c r="I105" s="39" t="n">
        <x:v>3150000</x:v>
      </x:c>
      <x:c r="J105" s="39" t="n">
        <x:f>G105*H105</x:f>
        <x:v>3150000</x:v>
      </x:c>
      <x:c r="K105" s="33" t="str">
        <x:f>IF(I105=J105,"일치","불일치")</x:f>
        <x:v>일치</x:v>
      </x:c>
      <x:c r="L105" s="33" t="str">
        <x:v>추가 구성</x:v>
      </x:c>
      <x:c r="M105" s="34" t="str">
        <x:v>p.1 품목표</x:v>
      </x:c>
    </x:row>
    <x:row r="106" ht="24" customHeight="1">
      <x:c r="A106" s="32" t="str">
        <x:v>QUOTE-024</x:v>
      </x:c>
      <x:c r="B106" s="33" t="str">
        <x:v>견적서_24.pdf</x:v>
      </x:c>
      <x:c r="C106" s="33" t="n">
        <x:v>1</x:v>
      </x:c>
      <x:c r="D106" s="33" t="str">
        <x:v>LR-CORE1</x:v>
      </x:c>
      <x:c r="E106" s="33" t="str">
        <x:v>액세서리</x:v>
      </x:c>
      <x:c r="F106" s="33" t="str">
        <x:v>EA</x:v>
      </x:c>
      <x:c r="G106" s="39" t="n">
        <x:v>5</x:v>
      </x:c>
      <x:c r="H106" s="39" t="n">
        <x:v>4200000</x:v>
      </x:c>
      <x:c r="I106" s="39" t="n">
        <x:v>21000000</x:v>
      </x:c>
      <x:c r="J106" s="39" t="n">
        <x:f>G106*H106</x:f>
        <x:v>21000000</x:v>
      </x:c>
      <x:c r="K106" s="33" t="str">
        <x:f>IF(I106=J106,"일치","불일치")</x:f>
        <x:v>일치</x:v>
      </x:c>
      <x:c r="L106" s="33" t="str">
        <x:v>현장 구성</x:v>
      </x:c>
      <x:c r="M106" s="34" t="str">
        <x:v>p.1 품목표</x:v>
      </x:c>
    </x:row>
    <x:row r="107" ht="24" customHeight="1">
      <x:c r="A107" s="32" t="str">
        <x:v>QUOTE-024</x:v>
      </x:c>
      <x:c r="B107" s="33" t="str">
        <x:v>견적서_24.pdf</x:v>
      </x:c>
      <x:c r="C107" s="33" t="n">
        <x:v>2</x:v>
      </x:c>
      <x:c r="D107" s="33" t="str">
        <x:v>LR1000</x:v>
      </x:c>
      <x:c r="E107" s="33" t="str">
        <x:v>시스템</x:v>
      </x:c>
      <x:c r="F107" s="33" t="str">
        <x:v>EA</x:v>
      </x:c>
      <x:c r="G107" s="39" t="n">
        <x:v>2</x:v>
      </x:c>
      <x:c r="H107" s="39" t="n">
        <x:v>4500000</x:v>
      </x:c>
      <x:c r="I107" s="39" t="n">
        <x:v>9000000</x:v>
      </x:c>
      <x:c r="J107" s="39" t="n">
        <x:f>G107*H107</x:f>
        <x:v>9000000</x:v>
      </x:c>
      <x:c r="K107" s="33" t="str">
        <x:f>IF(I107=J107,"일치","불일치")</x:f>
        <x:v>일치</x:v>
      </x:c>
      <x:c r="L107" s="33" t="str">
        <x:v>운영 구성</x:v>
      </x:c>
      <x:c r="M107" s="34" t="str">
        <x:v>p.1 품목표</x:v>
      </x:c>
    </x:row>
    <x:row r="108" ht="24" customHeight="1">
      <x:c r="A108" s="32" t="str">
        <x:v>QUOTE-024</x:v>
      </x:c>
      <x:c r="B108" s="33" t="str">
        <x:v>견적서_24.pdf</x:v>
      </x:c>
      <x:c r="C108" s="33" t="n">
        <x:v>3</x:v>
      </x:c>
      <x:c r="D108" s="33" t="str">
        <x:v>LP2000</x:v>
      </x:c>
      <x:c r="E108" s="33" t="str">
        <x:v>프로브</x:v>
      </x:c>
      <x:c r="F108" s="33" t="str">
        <x:v>EA</x:v>
      </x:c>
      <x:c r="G108" s="39" t="n">
        <x:v>20</x:v>
      </x:c>
      <x:c r="H108" s="39" t="n">
        <x:v>175000</x:v>
      </x:c>
      <x:c r="I108" s="39" t="n">
        <x:v>3500000</x:v>
      </x:c>
      <x:c r="J108" s="39" t="n">
        <x:f>G108*H108</x:f>
        <x:v>3500000</x:v>
      </x:c>
      <x:c r="K108" s="33" t="str">
        <x:f>IF(I108=J108,"일치","불일치")</x:f>
        <x:v>일치</x:v>
      </x:c>
      <x:c r="L108" s="33" t="str">
        <x:v>추가 구성</x:v>
      </x:c>
      <x:c r="M108" s="34" t="str">
        <x:v>p.1 품목표</x:v>
      </x:c>
    </x:row>
    <x:row r="109" ht="24" customHeight="1">
      <x:c r="A109" s="32" t="str">
        <x:v>QUOTE-025</x:v>
      </x:c>
      <x:c r="B109" s="33" t="str">
        <x:v>견적서_25.pdf</x:v>
      </x:c>
      <x:c r="C109" s="33" t="n">
        <x:v>1</x:v>
      </x:c>
      <x:c r="D109" s="33" t="str">
        <x:v>LR-CORE3</x:v>
      </x:c>
      <x:c r="E109" s="33" t="str">
        <x:v>액세서리</x:v>
      </x:c>
      <x:c r="F109" s="33" t="str">
        <x:v>EA</x:v>
      </x:c>
      <x:c r="G109" s="39" t="n">
        <x:v>2</x:v>
      </x:c>
      <x:c r="H109" s="39" t="n">
        <x:v>60000</x:v>
      </x:c>
      <x:c r="I109" s="39" t="n">
        <x:v>120000</x:v>
      </x:c>
      <x:c r="J109" s="39" t="n">
        <x:f>G109*H109</x:f>
        <x:v>120000</x:v>
      </x:c>
      <x:c r="K109" s="33" t="str">
        <x:f>IF(I109=J109,"일치","불일치")</x:f>
        <x:v>일치</x:v>
      </x:c>
      <x:c r="L109" s="33" t="str">
        <x:v>확장 구성</x:v>
      </x:c>
      <x:c r="M109" s="34" t="str">
        <x:v>p.1 품목표</x:v>
      </x:c>
    </x:row>
    <x:row r="110" ht="24" customHeight="1">
      <x:c r="A110" s="32" t="str">
        <x:v>QUOTE-025</x:v>
      </x:c>
      <x:c r="B110" s="33" t="str">
        <x:v>견적서_25.pdf</x:v>
      </x:c>
      <x:c r="C110" s="33" t="n">
        <x:v>2</x:v>
      </x:c>
      <x:c r="D110" s="33" t="str">
        <x:v>LR-CORE1</x:v>
      </x:c>
      <x:c r="E110" s="33" t="str">
        <x:v>액세서리</x:v>
      </x:c>
      <x:c r="F110" s="33" t="str">
        <x:v>EA</x:v>
      </x:c>
      <x:c r="G110" s="39" t="n">
        <x:v>4</x:v>
      </x:c>
      <x:c r="H110" s="39" t="n">
        <x:v>4200000</x:v>
      </x:c>
      <x:c r="I110" s="39" t="n">
        <x:v>16800000</x:v>
      </x:c>
      <x:c r="J110" s="39" t="n">
        <x:f>G110*H110</x:f>
        <x:v>16800000</x:v>
      </x:c>
      <x:c r="K110" s="33" t="str">
        <x:f>IF(I110=J110,"일치","불일치")</x:f>
        <x:v>일치</x:v>
      </x:c>
      <x:c r="L110" s="33" t="str">
        <x:v>운영 보조</x:v>
      </x:c>
      <x:c r="M110" s="34" t="str">
        <x:v>p.1 품목표</x:v>
      </x:c>
    </x:row>
    <x:row r="111" ht="24" customHeight="1">
      <x:c r="A111" s="32" t="str">
        <x:v>QUOTE-025</x:v>
      </x:c>
      <x:c r="B111" s="33" t="str">
        <x:v>견적서_25.pdf</x:v>
      </x:c>
      <x:c r="C111" s="33" t="n">
        <x:v>3</x:v>
      </x:c>
      <x:c r="D111" s="33" t="str">
        <x:v>LP1500</x:v>
      </x:c>
      <x:c r="E111" s="33" t="str">
        <x:v>프로브</x:v>
      </x:c>
      <x:c r="F111" s="33" t="str">
        <x:v>EA</x:v>
      </x:c>
      <x:c r="G111" s="39" t="n">
        <x:v>18</x:v>
      </x:c>
      <x:c r="H111" s="39" t="n">
        <x:v>145000</x:v>
      </x:c>
      <x:c r="I111" s="39" t="n">
        <x:v>2610000</x:v>
      </x:c>
      <x:c r="J111" s="39" t="n">
        <x:f>G111*H111</x:f>
        <x:v>2610000</x:v>
      </x:c>
      <x:c r="K111" s="33" t="str">
        <x:f>IF(I111=J111,"일치","불일치")</x:f>
        <x:v>일치</x:v>
      </x:c>
      <x:c r="L111" s="33" t="str">
        <x:v>현장 사용</x:v>
      </x:c>
      <x:c r="M111" s="34" t="str">
        <x:v>p.1 품목표</x:v>
      </x:c>
    </x:row>
    <x:row r="112" ht="24" customHeight="1">
      <x:c r="A112" s="32" t="str">
        <x:v>QUOTE-025</x:v>
      </x:c>
      <x:c r="B112" s="33" t="str">
        <x:v>견적서_25.pdf</x:v>
      </x:c>
      <x:c r="C112" s="33" t="n">
        <x:v>4</x:v>
      </x:c>
      <x:c r="D112" s="33" t="str">
        <x:v>LP1000</x:v>
      </x:c>
      <x:c r="E112" s="33" t="str">
        <x:v>프로브</x:v>
      </x:c>
      <x:c r="F112" s="33" t="str">
        <x:v>EA</x:v>
      </x:c>
      <x:c r="G112" s="39" t="n">
        <x:v>6</x:v>
      </x:c>
      <x:c r="H112" s="39" t="n">
        <x:v>130000</x:v>
      </x:c>
      <x:c r="I112" s="39" t="n">
        <x:v>780000</x:v>
      </x:c>
      <x:c r="J112" s="39" t="n">
        <x:f>G112*H112</x:f>
        <x:v>780000</x:v>
      </x:c>
      <x:c r="K112" s="33" t="str">
        <x:f>IF(I112=J112,"일치","불일치")</x:f>
        <x:v>일치</x:v>
      </x:c>
      <x:c r="L112" s="33" t="str">
        <x:v>현장 사용</x:v>
      </x:c>
      <x:c r="M112" s="34" t="str">
        <x:v>p.1 품목표</x:v>
      </x:c>
    </x:row>
    <x:row r="113" ht="24" customHeight="1">
      <x:c r="A113" s="32" t="str">
        <x:v>QUOTE-025</x:v>
      </x:c>
      <x:c r="B113" s="33" t="str">
        <x:v>견적서_25.pdf</x:v>
      </x:c>
      <x:c r="C113" s="33" t="n">
        <x:v>5</x:v>
      </x:c>
      <x:c r="D113" s="33" t="str">
        <x:v>LR-PRO</x:v>
      </x:c>
      <x:c r="E113" s="33" t="str">
        <x:v>시스템</x:v>
      </x:c>
      <x:c r="F113" s="33" t="str">
        <x:v>EA</x:v>
      </x:c>
      <x:c r="G113" s="39" t="n">
        <x:v>2</x:v>
      </x:c>
      <x:c r="H113" s="39" t="n">
        <x:v>6000000</x:v>
      </x:c>
      <x:c r="I113" s="39" t="n">
        <x:v>12000000</x:v>
      </x:c>
      <x:c r="J113" s="39" t="n">
        <x:f>G113*H113</x:f>
        <x:v>12000000</x:v>
      </x:c>
      <x:c r="K113" s="33" t="str">
        <x:f>IF(I113=J113,"일치","불일치")</x:f>
        <x:v>일치</x:v>
      </x:c>
      <x:c r="L113" s="33" t="str">
        <x:v>기본 구성</x:v>
      </x:c>
      <x:c r="M113" s="34" t="str">
        <x:v>p.1 품목표</x:v>
      </x:c>
    </x:row>
    <x:row r="114" ht="24" customHeight="1">
      <x:c r="A114" s="32" t="str">
        <x:v>QUOTE-025</x:v>
      </x:c>
      <x:c r="B114" s="33" t="str">
        <x:v>견적서_25.pdf</x:v>
      </x:c>
      <x:c r="C114" s="33" t="n">
        <x:v>6</x:v>
      </x:c>
      <x:c r="D114" s="33" t="str">
        <x:v>LP100</x:v>
      </x:c>
      <x:c r="E114" s="33" t="str">
        <x:v>부품</x:v>
      </x:c>
      <x:c r="F114" s="33" t="str">
        <x:v>EA</x:v>
      </x:c>
      <x:c r="G114" s="39" t="n">
        <x:v>9</x:v>
      </x:c>
      <x:c r="H114" s="39" t="n">
        <x:v>180000</x:v>
      </x:c>
      <x:c r="I114" s="39" t="n">
        <x:v>1620000</x:v>
      </x:c>
      <x:c r="J114" s="39" t="n">
        <x:f>G114*H114</x:f>
        <x:v>1620000</x:v>
      </x:c>
      <x:c r="K114" s="33" t="str">
        <x:f>IF(I114=J114,"일치","불일치")</x:f>
        <x:v>일치</x:v>
      </x:c>
      <x:c r="L114" s="33" t="str">
        <x:v>교체용</x:v>
      </x:c>
      <x:c r="M114" s="34" t="str">
        <x:v>p.1 품목표</x:v>
      </x:c>
    </x:row>
    <x:row r="115" ht="24" customHeight="1">
      <x:c r="A115" s="32" t="str">
        <x:v>QUOTE-026</x:v>
      </x:c>
      <x:c r="B115" s="33" t="str">
        <x:v>견적서_26.pdf</x:v>
      </x:c>
      <x:c r="C115" s="33" t="n">
        <x:v>1</x:v>
      </x:c>
      <x:c r="D115" s="33" t="str">
        <x:v>LP200</x:v>
      </x:c>
      <x:c r="E115" s="33" t="str">
        <x:v>부품</x:v>
      </x:c>
      <x:c r="F115" s="33" t="str">
        <x:v>EA</x:v>
      </x:c>
      <x:c r="G115" s="39" t="n">
        <x:v>9</x:v>
      </x:c>
      <x:c r="H115" s="39" t="n">
        <x:v>240000</x:v>
      </x:c>
      <x:c r="I115" s="39" t="n">
        <x:v>2160000</x:v>
      </x:c>
      <x:c r="J115" s="39" t="n">
        <x:f>G115*H115</x:f>
        <x:v>2160000</x:v>
      </x:c>
      <x:c r="K115" s="33" t="str">
        <x:f>IF(I115=J115,"일치","불일치")</x:f>
        <x:v>일치</x:v>
      </x:c>
      <x:c r="L115" s="33" t="str">
        <x:v>교체용</x:v>
      </x:c>
      <x:c r="M115" s="34" t="str">
        <x:v>p.1 품목표</x:v>
      </x:c>
    </x:row>
    <x:row r="116" ht="24" customHeight="1">
      <x:c r="A116" s="32" t="str">
        <x:v>QUOTE-026</x:v>
      </x:c>
      <x:c r="B116" s="33" t="str">
        <x:v>견적서_26.pdf</x:v>
      </x:c>
      <x:c r="C116" s="33" t="n">
        <x:v>2</x:v>
      </x:c>
      <x:c r="D116" s="33" t="str">
        <x:v>LR-CORE2</x:v>
      </x:c>
      <x:c r="E116" s="33" t="str">
        <x:v>액세서리</x:v>
      </x:c>
      <x:c r="F116" s="33" t="str">
        <x:v>EA</x:v>
      </x:c>
      <x:c r="G116" s="39" t="n">
        <x:v>1</x:v>
      </x:c>
      <x:c r="H116" s="39" t="n">
        <x:v>4800000</x:v>
      </x:c>
      <x:c r="I116" s="39" t="n">
        <x:v>4800000</x:v>
      </x:c>
      <x:c r="J116" s="39" t="n">
        <x:f>G116*H116</x:f>
        <x:v>4800000</x:v>
      </x:c>
      <x:c r="K116" s="33" t="str">
        <x:f>IF(I116=J116,"일치","불일치")</x:f>
        <x:v>일치</x:v>
      </x:c>
      <x:c r="L116" s="33" t="str">
        <x:v>확장 구성</x:v>
      </x:c>
      <x:c r="M116" s="34" t="str">
        <x:v>p.1 품목표</x:v>
      </x:c>
    </x:row>
    <x:row r="117" ht="24" customHeight="1">
      <x:c r="A117" s="32" t="str">
        <x:v>QUOTE-026</x:v>
      </x:c>
      <x:c r="B117" s="33" t="str">
        <x:v>견적서_26.pdf</x:v>
      </x:c>
      <x:c r="C117" s="33" t="n">
        <x:v>3</x:v>
      </x:c>
      <x:c r="D117" s="33" t="str">
        <x:v>LR1000</x:v>
      </x:c>
      <x:c r="E117" s="33" t="str">
        <x:v>시스템</x:v>
      </x:c>
      <x:c r="F117" s="33" t="str">
        <x:v>EA</x:v>
      </x:c>
      <x:c r="G117" s="39" t="n">
        <x:v>2</x:v>
      </x:c>
      <x:c r="H117" s="39" t="n">
        <x:v>4500000</x:v>
      </x:c>
      <x:c r="I117" s="39" t="n">
        <x:v>9000000</x:v>
      </x:c>
      <x:c r="J117" s="39" t="n">
        <x:f>G117*H117</x:f>
        <x:v>9000000</x:v>
      </x:c>
      <x:c r="K117" s="33" t="str">
        <x:f>IF(I117=J117,"일치","불일치")</x:f>
        <x:v>일치</x:v>
      </x:c>
      <x:c r="L117" s="33" t="str">
        <x:v>기본 구성</x:v>
      </x:c>
      <x:c r="M117" s="34" t="str">
        <x:v>p.1 품목표</x:v>
      </x:c>
    </x:row>
    <x:row r="118" ht="24" customHeight="1">
      <x:c r="A118" s="32" t="str">
        <x:v>QUOTE-027</x:v>
      </x:c>
      <x:c r="B118" s="33" t="str">
        <x:v>견적서_27.pdf</x:v>
      </x:c>
      <x:c r="C118" s="33" t="n">
        <x:v>1</x:v>
      </x:c>
      <x:c r="D118" s="33" t="str">
        <x:v>LP2000</x:v>
      </x:c>
      <x:c r="E118" s="33" t="str">
        <x:v>프로브</x:v>
      </x:c>
      <x:c r="F118" s="33" t="str">
        <x:v>EA</x:v>
      </x:c>
      <x:c r="G118" s="39" t="n">
        <x:v>14</x:v>
      </x:c>
      <x:c r="H118" s="39" t="n">
        <x:v>175000</x:v>
      </x:c>
      <x:c r="I118" s="39" t="n">
        <x:v>2450000</x:v>
      </x:c>
      <x:c r="J118" s="39" t="n">
        <x:f>G118*H118</x:f>
        <x:v>2450000</x:v>
      </x:c>
      <x:c r="K118" s="33" t="str">
        <x:f>IF(I118=J118,"일치","불일치")</x:f>
        <x:v>일치</x:v>
      </x:c>
      <x:c r="L118" s="33" t="str">
        <x:v>현장 사용</x:v>
      </x:c>
      <x:c r="M118" s="34" t="str">
        <x:v>p.1 품목표</x:v>
      </x:c>
    </x:row>
    <x:row r="119" ht="24" customHeight="1">
      <x:c r="A119" s="32" t="str">
        <x:v>QUOTE-027</x:v>
      </x:c>
      <x:c r="B119" s="33" t="str">
        <x:v>견적서_27.pdf</x:v>
      </x:c>
      <x:c r="C119" s="33" t="n">
        <x:v>2</x:v>
      </x:c>
      <x:c r="D119" s="33" t="str">
        <x:v>LP1000</x:v>
      </x:c>
      <x:c r="E119" s="33" t="str">
        <x:v>프로브</x:v>
      </x:c>
      <x:c r="F119" s="33" t="str">
        <x:v>EA</x:v>
      </x:c>
      <x:c r="G119" s="39" t="n">
        <x:v>11</x:v>
      </x:c>
      <x:c r="H119" s="39" t="n">
        <x:v>130000</x:v>
      </x:c>
      <x:c r="I119" s="39" t="n">
        <x:v>1430000</x:v>
      </x:c>
      <x:c r="J119" s="39" t="n">
        <x:f>G119*H119</x:f>
        <x:v>1430000</x:v>
      </x:c>
      <x:c r="K119" s="33" t="str">
        <x:f>IF(I119=J119,"일치","불일치")</x:f>
        <x:v>일치</x:v>
      </x:c>
      <x:c r="L119" s="33" t="str">
        <x:v>추가 구성</x:v>
      </x:c>
      <x:c r="M119" s="34" t="str">
        <x:v>p.1 품목표</x:v>
      </x:c>
    </x:row>
    <x:row r="120" ht="24" customHeight="1">
      <x:c r="A120" s="32" t="str">
        <x:v>QUOTE-027</x:v>
      </x:c>
      <x:c r="B120" s="33" t="str">
        <x:v>견적서_27.pdf</x:v>
      </x:c>
      <x:c r="C120" s="33" t="n">
        <x:v>3</x:v>
      </x:c>
      <x:c r="D120" s="33" t="str">
        <x:v>LP1500</x:v>
      </x:c>
      <x:c r="E120" s="33" t="str">
        <x:v>프로브</x:v>
      </x:c>
      <x:c r="F120" s="33" t="str">
        <x:v>EA</x:v>
      </x:c>
      <x:c r="G120" s="39" t="n">
        <x:v>15</x:v>
      </x:c>
      <x:c r="H120" s="39" t="n">
        <x:v>145000</x:v>
      </x:c>
      <x:c r="I120" s="39" t="n">
        <x:v>2175000</x:v>
      </x:c>
      <x:c r="J120" s="39" t="n">
        <x:f>G120*H120</x:f>
        <x:v>2175000</x:v>
      </x:c>
      <x:c r="K120" s="33" t="str">
        <x:f>IF(I120=J120,"일치","불일치")</x:f>
        <x:v>일치</x:v>
      </x:c>
      <x:c r="L120" s="33" t="str">
        <x:v>추가 구성</x:v>
      </x:c>
      <x:c r="M120" s="34" t="str">
        <x:v>p.1 품목표</x:v>
      </x:c>
    </x:row>
    <x:row r="121" ht="24" customHeight="1">
      <x:c r="A121" s="32" t="str">
        <x:v>QUOTE-027</x:v>
      </x:c>
      <x:c r="B121" s="33" t="str">
        <x:v>견적서_27.pdf</x:v>
      </x:c>
      <x:c r="C121" s="33" t="n">
        <x:v>4</x:v>
      </x:c>
      <x:c r="D121" s="33" t="str">
        <x:v>LR-CORE1</x:v>
      </x:c>
      <x:c r="E121" s="33" t="str">
        <x:v>액세서리</x:v>
      </x:c>
      <x:c r="F121" s="33" t="str">
        <x:v>EA</x:v>
      </x:c>
      <x:c r="G121" s="39" t="n">
        <x:v>3</x:v>
      </x:c>
      <x:c r="H121" s="39" t="n">
        <x:v>4200000</x:v>
      </x:c>
      <x:c r="I121" s="39" t="n">
        <x:v>12600000</x:v>
      </x:c>
      <x:c r="J121" s="39" t="n">
        <x:f>G121*H121</x:f>
        <x:v>12600000</x:v>
      </x:c>
      <x:c r="K121" s="33" t="str">
        <x:f>IF(I121=J121,"일치","불일치")</x:f>
        <x:v>일치</x:v>
      </x:c>
      <x:c r="L121" s="33" t="str">
        <x:v>현장 구성</x:v>
      </x:c>
      <x:c r="M121" s="34" t="str">
        <x:v>p.1 품목표</x:v>
      </x:c>
    </x:row>
    <x:row r="122" ht="24" customHeight="1">
      <x:c r="A122" s="32" t="str">
        <x:v>QUOTE-027</x:v>
      </x:c>
      <x:c r="B122" s="33" t="str">
        <x:v>견적서_27.pdf</x:v>
      </x:c>
      <x:c r="C122" s="33" t="n">
        <x:v>5</x:v>
      </x:c>
      <x:c r="D122" s="33" t="str">
        <x:v>LR-PRO</x:v>
      </x:c>
      <x:c r="E122" s="33" t="str">
        <x:v>시스템</x:v>
      </x:c>
      <x:c r="F122" s="33" t="str">
        <x:v>EA</x:v>
      </x:c>
      <x:c r="G122" s="39" t="n">
        <x:v>1</x:v>
      </x:c>
      <x:c r="H122" s="39" t="n">
        <x:v>6000000</x:v>
      </x:c>
      <x:c r="I122" s="39" t="n">
        <x:v>6000000</x:v>
      </x:c>
      <x:c r="J122" s="39" t="n">
        <x:f>G122*H122</x:f>
        <x:v>6000000</x:v>
      </x:c>
      <x:c r="K122" s="33" t="str">
        <x:f>IF(I122=J122,"일치","불일치")</x:f>
        <x:v>일치</x:v>
      </x:c>
      <x:c r="L122" s="33" t="str">
        <x:v>운영 구성</x:v>
      </x:c>
      <x:c r="M122" s="34" t="str">
        <x:v>p.1 품목표</x:v>
      </x:c>
    </x:row>
    <x:row r="123" ht="24" customHeight="1">
      <x:c r="A123" s="32" t="str">
        <x:v>QUOTE-027</x:v>
      </x:c>
      <x:c r="B123" s="33" t="str">
        <x:v>견적서_27.pdf</x:v>
      </x:c>
      <x:c r="C123" s="33" t="n">
        <x:v>6</x:v>
      </x:c>
      <x:c r="D123" s="33" t="str">
        <x:v>LR-CORE3</x:v>
      </x:c>
      <x:c r="E123" s="33" t="str">
        <x:v>액세서리</x:v>
      </x:c>
      <x:c r="F123" s="33" t="str">
        <x:v>EA</x:v>
      </x:c>
      <x:c r="G123" s="39" t="n">
        <x:v>3</x:v>
      </x:c>
      <x:c r="H123" s="39" t="n">
        <x:v>60000</x:v>
      </x:c>
      <x:c r="I123" s="39" t="n">
        <x:v>180000</x:v>
      </x:c>
      <x:c r="J123" s="39" t="n">
        <x:f>G123*H123</x:f>
        <x:v>180000</x:v>
      </x:c>
      <x:c r="K123" s="33" t="str">
        <x:f>IF(I123=J123,"일치","불일치")</x:f>
        <x:v>일치</x:v>
      </x:c>
      <x:c r="L123" s="33" t="str">
        <x:v>확장 구성</x:v>
      </x:c>
      <x:c r="M123" s="34" t="str">
        <x:v>p.1 품목표</x:v>
      </x:c>
    </x:row>
    <x:row r="124" ht="24" customHeight="1">
      <x:c r="A124" s="32" t="str">
        <x:v>QUOTE-028</x:v>
      </x:c>
      <x:c r="B124" s="33" t="str">
        <x:v>견적서_28.pdf</x:v>
      </x:c>
      <x:c r="C124" s="33" t="n">
        <x:v>1</x:v>
      </x:c>
      <x:c r="D124" s="33" t="str">
        <x:v>LR-CORE1</x:v>
      </x:c>
      <x:c r="E124" s="33" t="str">
        <x:v>액세서리</x:v>
      </x:c>
      <x:c r="F124" s="33" t="str">
        <x:v>EA</x:v>
      </x:c>
      <x:c r="G124" s="39" t="n">
        <x:v>5</x:v>
      </x:c>
      <x:c r="H124" s="39" t="n">
        <x:v>4200000</x:v>
      </x:c>
      <x:c r="I124" s="39" t="n">
        <x:v>21000000</x:v>
      </x:c>
      <x:c r="J124" s="39" t="n">
        <x:f>G124*H124</x:f>
        <x:v>21000000</x:v>
      </x:c>
      <x:c r="K124" s="33" t="str">
        <x:f>IF(I124=J124,"일치","불일치")</x:f>
        <x:v>일치</x:v>
      </x:c>
      <x:c r="L124" s="33" t="str">
        <x:v>현장 구성</x:v>
      </x:c>
      <x:c r="M124" s="34" t="str">
        <x:v>p.1 품목표</x:v>
      </x:c>
    </x:row>
    <x:row r="125" ht="24" customHeight="1">
      <x:c r="A125" s="32" t="str">
        <x:v>QUOTE-028</x:v>
      </x:c>
      <x:c r="B125" s="33" t="str">
        <x:v>견적서_28.pdf</x:v>
      </x:c>
      <x:c r="C125" s="33" t="n">
        <x:v>2</x:v>
      </x:c>
      <x:c r="D125" s="33" t="str">
        <x:v>LP2000</x:v>
      </x:c>
      <x:c r="E125" s="33" t="str">
        <x:v>프로브</x:v>
      </x:c>
      <x:c r="F125" s="33" t="str">
        <x:v>EA</x:v>
      </x:c>
      <x:c r="G125" s="39" t="n">
        <x:v>10</x:v>
      </x:c>
      <x:c r="H125" s="39" t="n">
        <x:v>175000</x:v>
      </x:c>
      <x:c r="I125" s="39" t="n">
        <x:v>1750000</x:v>
      </x:c>
      <x:c r="J125" s="39" t="n">
        <x:f>G125*H125</x:f>
        <x:v>1750000</x:v>
      </x:c>
      <x:c r="K125" s="33" t="str">
        <x:f>IF(I125=J125,"일치","불일치")</x:f>
        <x:v>일치</x:v>
      </x:c>
      <x:c r="L125" s="33" t="str">
        <x:v>추가 구성</x:v>
      </x:c>
      <x:c r="M125" s="34" t="str">
        <x:v>p.1 품목표</x:v>
      </x:c>
    </x:row>
    <x:row r="126" ht="24" customHeight="1">
      <x:c r="A126" s="32" t="str">
        <x:v>QUOTE-028</x:v>
      </x:c>
      <x:c r="B126" s="33" t="str">
        <x:v>견적서_28.pdf</x:v>
      </x:c>
      <x:c r="C126" s="33" t="n">
        <x:v>3</x:v>
      </x:c>
      <x:c r="D126" s="33" t="str">
        <x:v>LP1500</x:v>
      </x:c>
      <x:c r="E126" s="33" t="str">
        <x:v>프로브</x:v>
      </x:c>
      <x:c r="F126" s="33" t="str">
        <x:v>EA</x:v>
      </x:c>
      <x:c r="G126" s="39" t="n">
        <x:v>15</x:v>
      </x:c>
      <x:c r="H126" s="39" t="n">
        <x:v>145000</x:v>
      </x:c>
      <x:c r="I126" s="39" t="n">
        <x:v>2175000</x:v>
      </x:c>
      <x:c r="J126" s="39" t="n">
        <x:f>G126*H126</x:f>
        <x:v>2175000</x:v>
      </x:c>
      <x:c r="K126" s="33" t="str">
        <x:f>IF(I126=J126,"일치","불일치")</x:f>
        <x:v>일치</x:v>
      </x:c>
      <x:c r="L126" s="33" t="str">
        <x:v>현장 사용</x:v>
      </x:c>
      <x:c r="M126" s="34" t="str">
        <x:v>p.1 품목표</x:v>
      </x:c>
    </x:row>
    <x:row r="127" ht="24" customHeight="1">
      <x:c r="A127" s="32" t="str">
        <x:v>QUOTE-028</x:v>
      </x:c>
      <x:c r="B127" s="33" t="str">
        <x:v>견적서_28.pdf</x:v>
      </x:c>
      <x:c r="C127" s="33" t="n">
        <x:v>4</x:v>
      </x:c>
      <x:c r="D127" s="33" t="str">
        <x:v>LR-PRO</x:v>
      </x:c>
      <x:c r="E127" s="33" t="str">
        <x:v>시스템</x:v>
      </x:c>
      <x:c r="F127" s="33" t="str">
        <x:v>EA</x:v>
      </x:c>
      <x:c r="G127" s="39" t="n">
        <x:v>2</x:v>
      </x:c>
      <x:c r="H127" s="39" t="n">
        <x:v>6000000</x:v>
      </x:c>
      <x:c r="I127" s="39" t="n">
        <x:v>12000000</x:v>
      </x:c>
      <x:c r="J127" s="39" t="n">
        <x:f>G127*H127</x:f>
        <x:v>12000000</x:v>
      </x:c>
      <x:c r="K127" s="33" t="str">
        <x:f>IF(I127=J127,"일치","불일치")</x:f>
        <x:v>일치</x:v>
      </x:c>
      <x:c r="L127" s="33" t="str">
        <x:v>설치 대상</x:v>
      </x:c>
      <x:c r="M127" s="34" t="str">
        <x:v>p.1 품목표</x:v>
      </x:c>
    </x:row>
    <x:row r="128" ht="24" customHeight="1">
      <x:c r="A128" s="32" t="str">
        <x:v>QUOTE-028</x:v>
      </x:c>
      <x:c r="B128" s="33" t="str">
        <x:v>견적서_28.pdf</x:v>
      </x:c>
      <x:c r="C128" s="33" t="n">
        <x:v>5</x:v>
      </x:c>
      <x:c r="D128" s="33" t="str">
        <x:v>LP100</x:v>
      </x:c>
      <x:c r="E128" s="33" t="str">
        <x:v>부품</x:v>
      </x:c>
      <x:c r="F128" s="33" t="str">
        <x:v>EA</x:v>
      </x:c>
      <x:c r="G128" s="39" t="n">
        <x:v>9</x:v>
      </x:c>
      <x:c r="H128" s="39" t="n">
        <x:v>180000</x:v>
      </x:c>
      <x:c r="I128" s="39" t="n">
        <x:v>1620000</x:v>
      </x:c>
      <x:c r="J128" s="39" t="n">
        <x:f>G128*H128</x:f>
        <x:v>1620000</x:v>
      </x:c>
      <x:c r="K128" s="33" t="str">
        <x:f>IF(I128=J128,"일치","불일치")</x:f>
        <x:v>일치</x:v>
      </x:c>
      <x:c r="L128" s="33" t="str">
        <x:v>교체용</x:v>
      </x:c>
      <x:c r="M128" s="34" t="str">
        <x:v>p.1 품목표</x:v>
      </x:c>
    </x:row>
    <x:row r="129" ht="24" customHeight="1">
      <x:c r="A129" s="32" t="str">
        <x:v>QUOTE-028</x:v>
      </x:c>
      <x:c r="B129" s="33" t="str">
        <x:v>견적서_28.pdf</x:v>
      </x:c>
      <x:c r="C129" s="33" t="n">
        <x:v>6</x:v>
      </x:c>
      <x:c r="D129" s="33" t="str">
        <x:v>LR-CORE3</x:v>
      </x:c>
      <x:c r="E129" s="33" t="str">
        <x:v>액세서리</x:v>
      </x:c>
      <x:c r="F129" s="33" t="str">
        <x:v>EA</x:v>
      </x:c>
      <x:c r="G129" s="39" t="n">
        <x:v>4</x:v>
      </x:c>
      <x:c r="H129" s="39" t="n">
        <x:v>60000</x:v>
      </x:c>
      <x:c r="I129" s="39" t="n">
        <x:v>240000</x:v>
      </x:c>
      <x:c r="J129" s="39" t="n">
        <x:f>G129*H129</x:f>
        <x:v>240000</x:v>
      </x:c>
      <x:c r="K129" s="33" t="str">
        <x:f>IF(I129=J129,"일치","불일치")</x:f>
        <x:v>일치</x:v>
      </x:c>
      <x:c r="L129" s="33" t="str">
        <x:v>현장 구성</x:v>
      </x:c>
      <x:c r="M129" s="34" t="str">
        <x:v>p.1 품목표</x:v>
      </x:c>
    </x:row>
    <x:row r="130" ht="24" customHeight="1">
      <x:c r="A130" s="32" t="str">
        <x:v>QUOTE-029</x:v>
      </x:c>
      <x:c r="B130" s="33" t="str">
        <x:v>견적서_29.pdf</x:v>
      </x:c>
      <x:c r="C130" s="33" t="n">
        <x:v>1</x:v>
      </x:c>
      <x:c r="D130" s="33" t="str">
        <x:v>LR-CORE3</x:v>
      </x:c>
      <x:c r="E130" s="33" t="str">
        <x:v>액세서리</x:v>
      </x:c>
      <x:c r="F130" s="33" t="str">
        <x:v>EA</x:v>
      </x:c>
      <x:c r="G130" s="39" t="n">
        <x:v>1</x:v>
      </x:c>
      <x:c r="H130" s="39" t="n">
        <x:v>60000</x:v>
      </x:c>
      <x:c r="I130" s="39" t="n">
        <x:v>60000</x:v>
      </x:c>
      <x:c r="J130" s="39" t="n">
        <x:f>G130*H130</x:f>
        <x:v>60000</x:v>
      </x:c>
      <x:c r="K130" s="33" t="str">
        <x:f>IF(I130=J130,"일치","불일치")</x:f>
        <x:v>일치</x:v>
      </x:c>
      <x:c r="L130" s="33" t="str">
        <x:v>현장 구성</x:v>
      </x:c>
      <x:c r="M130" s="34" t="str">
        <x:v>p.1 품목표</x:v>
      </x:c>
    </x:row>
    <x:row r="131" ht="24" customHeight="1">
      <x:c r="A131" s="32" t="str">
        <x:v>QUOTE-029</x:v>
      </x:c>
      <x:c r="B131" s="33" t="str">
        <x:v>견적서_29.pdf</x:v>
      </x:c>
      <x:c r="C131" s="33" t="n">
        <x:v>2</x:v>
      </x:c>
      <x:c r="D131" s="33" t="str">
        <x:v>LP200</x:v>
      </x:c>
      <x:c r="E131" s="33" t="str">
        <x:v>부품</x:v>
      </x:c>
      <x:c r="F131" s="33" t="str">
        <x:v>EA</x:v>
      </x:c>
      <x:c r="G131" s="39" t="n">
        <x:v>10</x:v>
      </x:c>
      <x:c r="H131" s="39" t="n">
        <x:v>240000</x:v>
      </x:c>
      <x:c r="I131" s="39" t="n">
        <x:v>2400000</x:v>
      </x:c>
      <x:c r="J131" s="39" t="n">
        <x:f>G131*H131</x:f>
        <x:v>2400000</x:v>
      </x:c>
      <x:c r="K131" s="33" t="str">
        <x:f>IF(I131=J131,"일치","불일치")</x:f>
        <x:v>일치</x:v>
      </x:c>
      <x:c r="L131" s="33" t="str">
        <x:v>교체용</x:v>
      </x:c>
      <x:c r="M131" s="34" t="str">
        <x:v>p.1 품목표</x:v>
      </x:c>
    </x:row>
    <x:row r="132" ht="24" customHeight="1">
      <x:c r="A132" s="32" t="str">
        <x:v>QUOTE-029</x:v>
      </x:c>
      <x:c r="B132" s="33" t="str">
        <x:v>견적서_29.pdf</x:v>
      </x:c>
      <x:c r="C132" s="33" t="n">
        <x:v>3</x:v>
      </x:c>
      <x:c r="D132" s="33" t="str">
        <x:v>LR2000</x:v>
      </x:c>
      <x:c r="E132" s="33" t="str">
        <x:v>시스템</x:v>
      </x:c>
      <x:c r="F132" s="33" t="str">
        <x:v>EA</x:v>
      </x:c>
      <x:c r="G132" s="39" t="n">
        <x:v>2</x:v>
      </x:c>
      <x:c r="H132" s="39" t="n">
        <x:v>5200000</x:v>
      </x:c>
      <x:c r="I132" s="39" t="n">
        <x:v>10400000</x:v>
      </x:c>
      <x:c r="J132" s="39" t="n">
        <x:f>G132*H132</x:f>
        <x:v>10400000</x:v>
      </x:c>
      <x:c r="K132" s="33" t="str">
        <x:f>IF(I132=J132,"일치","불일치")</x:f>
        <x:v>일치</x:v>
      </x:c>
      <x:c r="L132" s="33" t="str">
        <x:v>운영 구성</x:v>
      </x:c>
      <x:c r="M132" s="34" t="str">
        <x:v>p.1 품목표</x:v>
      </x:c>
    </x:row>
    <x:row r="133" ht="24" customHeight="1">
      <x:c r="A133" s="32" t="str">
        <x:v>QUOTE-029</x:v>
      </x:c>
      <x:c r="B133" s="33" t="str">
        <x:v>견적서_29.pdf</x:v>
      </x:c>
      <x:c r="C133" s="33" t="n">
        <x:v>4</x:v>
      </x:c>
      <x:c r="D133" s="33" t="str">
        <x:v>LR-CORE2</x:v>
      </x:c>
      <x:c r="E133" s="33" t="str">
        <x:v>액세서리</x:v>
      </x:c>
      <x:c r="F133" s="33" t="str">
        <x:v>EA</x:v>
      </x:c>
      <x:c r="G133" s="39" t="n">
        <x:v>4</x:v>
      </x:c>
      <x:c r="H133" s="39" t="n">
        <x:v>4800000</x:v>
      </x:c>
      <x:c r="I133" s="39" t="n">
        <x:v>19200000</x:v>
      </x:c>
      <x:c r="J133" s="39" t="n">
        <x:f>G133*H133</x:f>
        <x:v>19200000</x:v>
      </x:c>
      <x:c r="K133" s="33" t="str">
        <x:f>IF(I133=J133,"일치","불일치")</x:f>
        <x:v>일치</x:v>
      </x:c>
      <x:c r="L133" s="33" t="str">
        <x:v>현장 구성</x:v>
      </x:c>
      <x:c r="M133" s="34" t="str">
        <x:v>p.1 품목표</x:v>
      </x:c>
    </x:row>
    <x:row r="134" ht="24" customHeight="1">
      <x:c r="A134" s="32" t="str">
        <x:v>QUOTE-029</x:v>
      </x:c>
      <x:c r="B134" s="33" t="str">
        <x:v>견적서_29.pdf</x:v>
      </x:c>
      <x:c r="C134" s="33" t="n">
        <x:v>5</x:v>
      </x:c>
      <x:c r="D134" s="33" t="str">
        <x:v>LP1500</x:v>
      </x:c>
      <x:c r="E134" s="33" t="str">
        <x:v>프로브</x:v>
      </x:c>
      <x:c r="F134" s="33" t="str">
        <x:v>EA</x:v>
      </x:c>
      <x:c r="G134" s="39" t="n">
        <x:v>20</x:v>
      </x:c>
      <x:c r="H134" s="39" t="n">
        <x:v>145000</x:v>
      </x:c>
      <x:c r="I134" s="39" t="n">
        <x:v>2900000</x:v>
      </x:c>
      <x:c r="J134" s="39" t="n">
        <x:f>G134*H134</x:f>
        <x:v>2900000</x:v>
      </x:c>
      <x:c r="K134" s="33" t="str">
        <x:f>IF(I134=J134,"일치","불일치")</x:f>
        <x:v>일치</x:v>
      </x:c>
      <x:c r="L134" s="33" t="str">
        <x:v>현장 사용</x:v>
      </x:c>
      <x:c r="M134" s="34" t="str">
        <x:v>p.1 품목표</x:v>
      </x:c>
    </x:row>
    <x:row r="135" ht="24" customHeight="1">
      <x:c r="A135" s="32" t="str">
        <x:v>QUOTE-029</x:v>
      </x:c>
      <x:c r="B135" s="33" t="str">
        <x:v>견적서_29.pdf</x:v>
      </x:c>
      <x:c r="C135" s="33" t="n">
        <x:v>6</x:v>
      </x:c>
      <x:c r="D135" s="33" t="str">
        <x:v>LR-CORE1</x:v>
      </x:c>
      <x:c r="E135" s="33" t="str">
        <x:v>액세서리</x:v>
      </x:c>
      <x:c r="F135" s="33" t="str">
        <x:v>EA</x:v>
      </x:c>
      <x:c r="G135" s="39" t="n">
        <x:v>5</x:v>
      </x:c>
      <x:c r="H135" s="39" t="n">
        <x:v>4200000</x:v>
      </x:c>
      <x:c r="I135" s="39" t="n">
        <x:v>21000000</x:v>
      </x:c>
      <x:c r="J135" s="39" t="n">
        <x:f>G135*H135</x:f>
        <x:v>21000000</x:v>
      </x:c>
      <x:c r="K135" s="33" t="str">
        <x:f>IF(I135=J135,"일치","불일치")</x:f>
        <x:v>일치</x:v>
      </x:c>
      <x:c r="L135" s="33" t="str">
        <x:v>운영 보조</x:v>
      </x:c>
      <x:c r="M135" s="34" t="str">
        <x:v>p.1 품목표</x:v>
      </x:c>
    </x:row>
    <x:row r="136" ht="24" customHeight="1">
      <x:c r="A136" s="32" t="str">
        <x:v>QUOTE-030</x:v>
      </x:c>
      <x:c r="B136" s="33" t="str">
        <x:v>견적서_30.pdf</x:v>
      </x:c>
      <x:c r="C136" s="33" t="n">
        <x:v>1</x:v>
      </x:c>
      <x:c r="D136" s="33" t="str">
        <x:v>LP1000</x:v>
      </x:c>
      <x:c r="E136" s="33" t="str">
        <x:v>프로브</x:v>
      </x:c>
      <x:c r="F136" s="33" t="str">
        <x:v>EA</x:v>
      </x:c>
      <x:c r="G136" s="39" t="n">
        <x:v>18</x:v>
      </x:c>
      <x:c r="H136" s="39" t="n">
        <x:v>130000</x:v>
      </x:c>
      <x:c r="I136" s="39" t="n">
        <x:v>2340000</x:v>
      </x:c>
      <x:c r="J136" s="39" t="n">
        <x:f>G136*H136</x:f>
        <x:v>2340000</x:v>
      </x:c>
      <x:c r="K136" s="33" t="str">
        <x:f>IF(I136=J136,"일치","불일치")</x:f>
        <x:v>일치</x:v>
      </x:c>
      <x:c r="L136" s="33" t="str">
        <x:v>현장 사용</x:v>
      </x:c>
      <x:c r="M136" s="34" t="str">
        <x:v>p.1 품목표</x:v>
      </x:c>
    </x:row>
    <x:row r="137" ht="24" customHeight="1">
      <x:c r="A137" s="32" t="str">
        <x:v>QUOTE-030</x:v>
      </x:c>
      <x:c r="B137" s="33" t="str">
        <x:v>견적서_30.pdf</x:v>
      </x:c>
      <x:c r="C137" s="33" t="n">
        <x:v>2</x:v>
      </x:c>
      <x:c r="D137" s="33" t="str">
        <x:v>LP200</x:v>
      </x:c>
      <x:c r="E137" s="33" t="str">
        <x:v>부품</x:v>
      </x:c>
      <x:c r="F137" s="33" t="str">
        <x:v>EA</x:v>
      </x:c>
      <x:c r="G137" s="39" t="n">
        <x:v>2</x:v>
      </x:c>
      <x:c r="H137" s="39" t="n">
        <x:v>240000</x:v>
      </x:c>
      <x:c r="I137" s="39" t="n">
        <x:v>480000</x:v>
      </x:c>
      <x:c r="J137" s="39" t="n">
        <x:f>G137*H137</x:f>
        <x:v>480000</x:v>
      </x:c>
      <x:c r="K137" s="33" t="str">
        <x:f>IF(I137=J137,"일치","불일치")</x:f>
        <x:v>일치</x:v>
      </x:c>
      <x:c r="L137" s="33" t="str">
        <x:v>교체용</x:v>
      </x:c>
      <x:c r="M137" s="34" t="str">
        <x:v>p.1 품목표</x:v>
      </x:c>
    </x:row>
    <x:row r="138" ht="24" customHeight="1">
      <x:c r="A138" s="32" t="str">
        <x:v>QUOTE-030</x:v>
      </x:c>
      <x:c r="B138" s="33" t="str">
        <x:v>견적서_30.pdf</x:v>
      </x:c>
      <x:c r="C138" s="33" t="n">
        <x:v>3</x:v>
      </x:c>
      <x:c r="D138" s="33" t="str">
        <x:v>LP100</x:v>
      </x:c>
      <x:c r="E138" s="33" t="str">
        <x:v>부품</x:v>
      </x:c>
      <x:c r="F138" s="33" t="str">
        <x:v>EA</x:v>
      </x:c>
      <x:c r="G138" s="39" t="n">
        <x:v>5</x:v>
      </x:c>
      <x:c r="H138" s="39" t="n">
        <x:v>180000</x:v>
      </x:c>
      <x:c r="I138" s="39" t="n">
        <x:v>900000</x:v>
      </x:c>
      <x:c r="J138" s="39" t="n">
        <x:f>G138*H138</x:f>
        <x:v>900000</x:v>
      </x:c>
      <x:c r="K138" s="33" t="str">
        <x:f>IF(I138=J138,"일치","불일치")</x:f>
        <x:v>일치</x:v>
      </x:c>
      <x:c r="L138" s="33" t="str">
        <x:v>예비 구성</x:v>
      </x:c>
      <x:c r="M138" s="34" t="str">
        <x:v>p.1 품목표</x:v>
      </x:c>
    </x:row>
    <x:row r="139" ht="24" customHeight="1">
      <x:c r="A139" s="32" t="str">
        <x:v>QUOTE-030</x:v>
      </x:c>
      <x:c r="B139" s="33" t="str">
        <x:v>견적서_30.pdf</x:v>
      </x:c>
      <x:c r="C139" s="33" t="n">
        <x:v>4</x:v>
      </x:c>
      <x:c r="D139" s="33" t="str">
        <x:v>LR1000</x:v>
      </x:c>
      <x:c r="E139" s="33" t="str">
        <x:v>시스템</x:v>
      </x:c>
      <x:c r="F139" s="33" t="str">
        <x:v>EA</x:v>
      </x:c>
      <x:c r="G139" s="39" t="n">
        <x:v>3</x:v>
      </x:c>
      <x:c r="H139" s="39" t="n">
        <x:v>4500000</x:v>
      </x:c>
      <x:c r="I139" s="39" t="n">
        <x:v>13500000</x:v>
      </x:c>
      <x:c r="J139" s="39" t="n">
        <x:f>G139*H139</x:f>
        <x:v>13500000</x:v>
      </x:c>
      <x:c r="K139" s="33" t="str">
        <x:f>IF(I139=J139,"일치","불일치")</x:f>
        <x:v>일치</x:v>
      </x:c>
      <x:c r="L139" s="33" t="str">
        <x:v>설치 대상</x:v>
      </x:c>
      <x:c r="M139" s="34" t="str">
        <x:v>p.1 품목표</x:v>
      </x:c>
    </x:row>
    <x:row r="140" ht="24" customHeight="1">
      <x:c r="A140" s="32" t="str">
        <x:v>QUOTE-030</x:v>
      </x:c>
      <x:c r="B140" s="33" t="str">
        <x:v>견적서_30.pdf</x:v>
      </x:c>
      <x:c r="C140" s="33" t="n">
        <x:v>5</x:v>
      </x:c>
      <x:c r="D140" s="33" t="str">
        <x:v>LR-CORE2</x:v>
      </x:c>
      <x:c r="E140" s="33" t="str">
        <x:v>액세서리</x:v>
      </x:c>
      <x:c r="F140" s="33" t="str">
        <x:v>EA</x:v>
      </x:c>
      <x:c r="G140" s="39" t="n">
        <x:v>5</x:v>
      </x:c>
      <x:c r="H140" s="39" t="n">
        <x:v>4800000</x:v>
      </x:c>
      <x:c r="I140" s="39" t="n">
        <x:v>24000000</x:v>
      </x:c>
      <x:c r="J140" s="39" t="n">
        <x:f>G140*H140</x:f>
        <x:v>24000000</x:v>
      </x:c>
      <x:c r="K140" s="33" t="str">
        <x:f>IF(I140=J140,"일치","불일치")</x:f>
        <x:v>일치</x:v>
      </x:c>
      <x:c r="L140" s="33" t="str">
        <x:v>확장 구성</x:v>
      </x:c>
      <x:c r="M140" s="34" t="str">
        <x:v>p.1 품목표</x:v>
      </x:c>
    </x:row>
    <x:row r="141" ht="24" customHeight="1">
      <x:c r="A141" s="32" t="str">
        <x:v>QUOTE-030</x:v>
      </x:c>
      <x:c r="B141" s="33" t="str">
        <x:v>견적서_30.pdf</x:v>
      </x:c>
      <x:c r="C141" s="33" t="n">
        <x:v>6</x:v>
      </x:c>
      <x:c r="D141" s="33" t="str">
        <x:v>LP1500</x:v>
      </x:c>
      <x:c r="E141" s="33" t="str">
        <x:v>프로브</x:v>
      </x:c>
      <x:c r="F141" s="33" t="str">
        <x:v>EA</x:v>
      </x:c>
      <x:c r="G141" s="39" t="n">
        <x:v>20</x:v>
      </x:c>
      <x:c r="H141" s="39" t="n">
        <x:v>145000</x:v>
      </x:c>
      <x:c r="I141" s="39" t="n">
        <x:v>2900000</x:v>
      </x:c>
      <x:c r="J141" s="39" t="n">
        <x:f>G141*H141</x:f>
        <x:v>2900000</x:v>
      </x:c>
      <x:c r="K141" s="33" t="str">
        <x:f>IF(I141=J141,"일치","불일치")</x:f>
        <x:v>일치</x:v>
      </x:c>
      <x:c r="L141" s="33" t="str">
        <x:v>기본 소모품</x:v>
      </x:c>
      <x:c r="M141" s="34" t="str">
        <x:v>p.1 품목표</x:v>
      </x:c>
    </x:row>
    <x:row r="142" ht="24" customHeight="1">
      <x:c r="A142" s="32" t="str">
        <x:v>QUOTE-031</x:v>
      </x:c>
      <x:c r="B142" s="33" t="str">
        <x:v>견적서_31.pdf</x:v>
      </x:c>
      <x:c r="C142" s="33" t="n">
        <x:v>1</x:v>
      </x:c>
      <x:c r="D142" s="33" t="str">
        <x:v>LR1000</x:v>
      </x:c>
      <x:c r="E142" s="33" t="str">
        <x:v>시스템</x:v>
      </x:c>
      <x:c r="F142" s="33" t="str">
        <x:v>EA</x:v>
      </x:c>
      <x:c r="G142" s="39" t="n">
        <x:v>3</x:v>
      </x:c>
      <x:c r="H142" s="39" t="n">
        <x:v>4500000</x:v>
      </x:c>
      <x:c r="I142" s="39" t="n">
        <x:v>13500000</x:v>
      </x:c>
      <x:c r="J142" s="39" t="n">
        <x:f>G142*H142</x:f>
        <x:v>13500000</x:v>
      </x:c>
      <x:c r="K142" s="33" t="str">
        <x:f>IF(I142=J142,"일치","불일치")</x:f>
        <x:v>일치</x:v>
      </x:c>
      <x:c r="L142" s="33" t="str">
        <x:v>기본 구성</x:v>
      </x:c>
      <x:c r="M142" s="34" t="str">
        <x:v>p.1 품목표</x:v>
      </x:c>
    </x:row>
    <x:row r="143" ht="24" customHeight="1">
      <x:c r="A143" s="32" t="str">
        <x:v>QUOTE-031</x:v>
      </x:c>
      <x:c r="B143" s="33" t="str">
        <x:v>견적서_31.pdf</x:v>
      </x:c>
      <x:c r="C143" s="33" t="n">
        <x:v>2</x:v>
      </x:c>
      <x:c r="D143" s="33" t="str">
        <x:v>LP200</x:v>
      </x:c>
      <x:c r="E143" s="33" t="str">
        <x:v>부품</x:v>
      </x:c>
      <x:c r="F143" s="33" t="str">
        <x:v>EA</x:v>
      </x:c>
      <x:c r="G143" s="39" t="n">
        <x:v>3</x:v>
      </x:c>
      <x:c r="H143" s="39" t="n">
        <x:v>240000</x:v>
      </x:c>
      <x:c r="I143" s="39" t="n">
        <x:v>720000</x:v>
      </x:c>
      <x:c r="J143" s="39" t="n">
        <x:f>G143*H143</x:f>
        <x:v>720000</x:v>
      </x:c>
      <x:c r="K143" s="33" t="str">
        <x:f>IF(I143=J143,"일치","불일치")</x:f>
        <x:v>일치</x:v>
      </x:c>
      <x:c r="L143" s="33" t="str">
        <x:v>예비 구성</x:v>
      </x:c>
      <x:c r="M143" s="34" t="str">
        <x:v>p.1 품목표</x:v>
      </x:c>
    </x:row>
    <x:row r="144" ht="24" customHeight="1">
      <x:c r="A144" s="32" t="str">
        <x:v>QUOTE-031</x:v>
      </x:c>
      <x:c r="B144" s="33" t="str">
        <x:v>견적서_31.pdf</x:v>
      </x:c>
      <x:c r="C144" s="33" t="n">
        <x:v>3</x:v>
      </x:c>
      <x:c r="D144" s="33" t="str">
        <x:v>LP1000</x:v>
      </x:c>
      <x:c r="E144" s="33" t="str">
        <x:v>프로브</x:v>
      </x:c>
      <x:c r="F144" s="33" t="str">
        <x:v>EA</x:v>
      </x:c>
      <x:c r="G144" s="39" t="n">
        <x:v>10</x:v>
      </x:c>
      <x:c r="H144" s="39" t="n">
        <x:v>130000</x:v>
      </x:c>
      <x:c r="I144" s="39" t="n">
        <x:v>1300000</x:v>
      </x:c>
      <x:c r="J144" s="39" t="n">
        <x:f>G144*H144</x:f>
        <x:v>1300000</x:v>
      </x:c>
      <x:c r="K144" s="33" t="str">
        <x:f>IF(I144=J144,"일치","불일치")</x:f>
        <x:v>일치</x:v>
      </x:c>
      <x:c r="L144" s="33" t="str">
        <x:v>추가 구성</x:v>
      </x:c>
      <x:c r="M144" s="34" t="str">
        <x:v>p.1 품목표</x:v>
      </x:c>
    </x:row>
    <x:row r="145" ht="24" customHeight="1">
      <x:c r="A145" s="32" t="str">
        <x:v>QUOTE-031</x:v>
      </x:c>
      <x:c r="B145" s="33" t="str">
        <x:v>견적서_31.pdf</x:v>
      </x:c>
      <x:c r="C145" s="33" t="n">
        <x:v>4</x:v>
      </x:c>
      <x:c r="D145" s="33" t="str">
        <x:v>LP1500</x:v>
      </x:c>
      <x:c r="E145" s="33" t="str">
        <x:v>프로브</x:v>
      </x:c>
      <x:c r="F145" s="33" t="str">
        <x:v>EA</x:v>
      </x:c>
      <x:c r="G145" s="39" t="n">
        <x:v>9</x:v>
      </x:c>
      <x:c r="H145" s="39" t="n">
        <x:v>145000</x:v>
      </x:c>
      <x:c r="I145" s="39" t="n">
        <x:v>1305000</x:v>
      </x:c>
      <x:c r="J145" s="39" t="n">
        <x:f>G145*H145</x:f>
        <x:v>1305000</x:v>
      </x:c>
      <x:c r="K145" s="33" t="str">
        <x:f>IF(I145=J145,"일치","불일치")</x:f>
        <x:v>일치</x:v>
      </x:c>
      <x:c r="L145" s="33" t="str">
        <x:v>현장 사용</x:v>
      </x:c>
      <x:c r="M145" s="34" t="str">
        <x:v>p.1 품목표</x:v>
      </x:c>
    </x:row>
    <x:row r="146" ht="24" customHeight="1">
      <x:c r="A146" s="32" t="str">
        <x:v>QUOTE-031</x:v>
      </x:c>
      <x:c r="B146" s="33" t="str">
        <x:v>견적서_31.pdf</x:v>
      </x:c>
      <x:c r="C146" s="33" t="n">
        <x:v>5</x:v>
      </x:c>
      <x:c r="D146" s="33" t="str">
        <x:v>LR-CORE2</x:v>
      </x:c>
      <x:c r="E146" s="33" t="str">
        <x:v>액세서리</x:v>
      </x:c>
      <x:c r="F146" s="33" t="str">
        <x:v>EA</x:v>
      </x:c>
      <x:c r="G146" s="39" t="n">
        <x:v>5</x:v>
      </x:c>
      <x:c r="H146" s="39" t="n">
        <x:v>4800000</x:v>
      </x:c>
      <x:c r="I146" s="39" t="n">
        <x:v>24000000</x:v>
      </x:c>
      <x:c r="J146" s="39" t="n">
        <x:f>G146*H146</x:f>
        <x:v>24000000</x:v>
      </x:c>
      <x:c r="K146" s="33" t="str">
        <x:f>IF(I146=J146,"일치","불일치")</x:f>
        <x:v>일치</x:v>
      </x:c>
      <x:c r="L146" s="33" t="str">
        <x:v>확장 구성</x:v>
      </x:c>
      <x:c r="M146" s="34" t="str">
        <x:v>p.1 품목표</x:v>
      </x:c>
    </x:row>
    <x:row r="147" ht="24" customHeight="1">
      <x:c r="A147" s="32" t="str">
        <x:v>QUOTE-031</x:v>
      </x:c>
      <x:c r="B147" s="33" t="str">
        <x:v>견적서_31.pdf</x:v>
      </x:c>
      <x:c r="C147" s="33" t="n">
        <x:v>6</x:v>
      </x:c>
      <x:c r="D147" s="33" t="str">
        <x:v>LR-CORE3</x:v>
      </x:c>
      <x:c r="E147" s="33" t="str">
        <x:v>액세서리</x:v>
      </x:c>
      <x:c r="F147" s="33" t="str">
        <x:v>EA</x:v>
      </x:c>
      <x:c r="G147" s="39" t="n">
        <x:v>2</x:v>
      </x:c>
      <x:c r="H147" s="39" t="n">
        <x:v>60000</x:v>
      </x:c>
      <x:c r="I147" s="39" t="n">
        <x:v>120000</x:v>
      </x:c>
      <x:c r="J147" s="39" t="n">
        <x:f>G147*H147</x:f>
        <x:v>120000</x:v>
      </x:c>
      <x:c r="K147" s="33" t="str">
        <x:f>IF(I147=J147,"일치","불일치")</x:f>
        <x:v>일치</x:v>
      </x:c>
      <x:c r="L147" s="33" t="str">
        <x:v>운영 보조</x:v>
      </x:c>
      <x:c r="M147" s="34" t="str">
        <x:v>p.1 품목표</x:v>
      </x:c>
    </x:row>
    <x:row r="148" ht="24" customHeight="1">
      <x:c r="A148" s="32" t="str">
        <x:v>QUOTE-032</x:v>
      </x:c>
      <x:c r="B148" s="33" t="str">
        <x:v>견적서_32.pdf</x:v>
      </x:c>
      <x:c r="C148" s="33" t="n">
        <x:v>1</x:v>
      </x:c>
      <x:c r="D148" s="33" t="str">
        <x:v>LR1000</x:v>
      </x:c>
      <x:c r="E148" s="33" t="str">
        <x:v>시스템</x:v>
      </x:c>
      <x:c r="F148" s="33" t="str">
        <x:v>EA</x:v>
      </x:c>
      <x:c r="G148" s="39" t="n">
        <x:v>1</x:v>
      </x:c>
      <x:c r="H148" s="39" t="n">
        <x:v>4500000</x:v>
      </x:c>
      <x:c r="I148" s="39" t="n">
        <x:v>4500000</x:v>
      </x:c>
      <x:c r="J148" s="39" t="n">
        <x:f>G148*H148</x:f>
        <x:v>4500000</x:v>
      </x:c>
      <x:c r="K148" s="33" t="str">
        <x:f>IF(I148=J148,"일치","불일치")</x:f>
        <x:v>일치</x:v>
      </x:c>
      <x:c r="L148" s="33" t="str">
        <x:v>기본 구성</x:v>
      </x:c>
      <x:c r="M148" s="34" t="str">
        <x:v>p.1 품목표</x:v>
      </x:c>
    </x:row>
    <x:row r="149" ht="24" customHeight="1">
      <x:c r="A149" s="32" t="str">
        <x:v>QUOTE-032</x:v>
      </x:c>
      <x:c r="B149" s="33" t="str">
        <x:v>견적서_32.pdf</x:v>
      </x:c>
      <x:c r="C149" s="33" t="n">
        <x:v>2</x:v>
      </x:c>
      <x:c r="D149" s="33" t="str">
        <x:v>LP1500</x:v>
      </x:c>
      <x:c r="E149" s="33" t="str">
        <x:v>프로브</x:v>
      </x:c>
      <x:c r="F149" s="33" t="str">
        <x:v>EA</x:v>
      </x:c>
      <x:c r="G149" s="39" t="n">
        <x:v>9</x:v>
      </x:c>
      <x:c r="H149" s="39" t="n">
        <x:v>145000</x:v>
      </x:c>
      <x:c r="I149" s="39" t="n">
        <x:v>1305000</x:v>
      </x:c>
      <x:c r="J149" s="39" t="n">
        <x:f>G149*H149</x:f>
        <x:v>1305000</x:v>
      </x:c>
      <x:c r="K149" s="33" t="str">
        <x:f>IF(I149=J149,"일치","불일치")</x:f>
        <x:v>일치</x:v>
      </x:c>
      <x:c r="L149" s="33" t="str">
        <x:v>기본 소모품</x:v>
      </x:c>
      <x:c r="M149" s="34" t="str">
        <x:v>p.1 품목표</x:v>
      </x:c>
    </x:row>
    <x:row r="150" ht="24" customHeight="1">
      <x:c r="A150" s="32" t="str">
        <x:v>QUOTE-032</x:v>
      </x:c>
      <x:c r="B150" s="33" t="str">
        <x:v>견적서_32.pdf</x:v>
      </x:c>
      <x:c r="C150" s="33" t="n">
        <x:v>3</x:v>
      </x:c>
      <x:c r="D150" s="33" t="str">
        <x:v>LP100</x:v>
      </x:c>
      <x:c r="E150" s="33" t="str">
        <x:v>부품</x:v>
      </x:c>
      <x:c r="F150" s="33" t="str">
        <x:v>EA</x:v>
      </x:c>
      <x:c r="G150" s="39" t="n">
        <x:v>8</x:v>
      </x:c>
      <x:c r="H150" s="39" t="n">
        <x:v>180000</x:v>
      </x:c>
      <x:c r="I150" s="39" t="n">
        <x:v>1440000</x:v>
      </x:c>
      <x:c r="J150" s="39" t="n">
        <x:f>G150*H150</x:f>
        <x:v>1440000</x:v>
      </x:c>
      <x:c r="K150" s="33" t="str">
        <x:f>IF(I150=J150,"일치","불일치")</x:f>
        <x:v>일치</x:v>
      </x:c>
      <x:c r="L150" s="33" t="str">
        <x:v>예비 구성</x:v>
      </x:c>
      <x:c r="M150" s="34" t="str">
        <x:v>p.1 품목표</x:v>
      </x:c>
    </x:row>
    <x:row r="151" ht="24" customHeight="1">
      <x:c r="A151" s="32" t="str">
        <x:v>QUOTE-032</x:v>
      </x:c>
      <x:c r="B151" s="33" t="str">
        <x:v>견적서_32.pdf</x:v>
      </x:c>
      <x:c r="C151" s="33" t="n">
        <x:v>4</x:v>
      </x:c>
      <x:c r="D151" s="33" t="str">
        <x:v>LR-CORE2</x:v>
      </x:c>
      <x:c r="E151" s="33" t="str">
        <x:v>액세서리</x:v>
      </x:c>
      <x:c r="F151" s="33" t="str">
        <x:v>EA</x:v>
      </x:c>
      <x:c r="G151" s="39" t="n">
        <x:v>5</x:v>
      </x:c>
      <x:c r="H151" s="39" t="n">
        <x:v>4800000</x:v>
      </x:c>
      <x:c r="I151" s="39" t="n">
        <x:v>24000000</x:v>
      </x:c>
      <x:c r="J151" s="39" t="n">
        <x:f>G151*H151</x:f>
        <x:v>24000000</x:v>
      </x:c>
      <x:c r="K151" s="33" t="str">
        <x:f>IF(I151=J151,"일치","불일치")</x:f>
        <x:v>일치</x:v>
      </x:c>
      <x:c r="L151" s="33" t="str">
        <x:v>운영 보조</x:v>
      </x:c>
      <x:c r="M151" s="34" t="str">
        <x:v>p.1 품목표</x:v>
      </x:c>
    </x:row>
    <x:row r="152" ht="24" customHeight="1">
      <x:c r="A152" s="32" t="str">
        <x:v>QUOTE-033</x:v>
      </x:c>
      <x:c r="B152" s="33" t="str">
        <x:v>견적서_33.pdf</x:v>
      </x:c>
      <x:c r="C152" s="33" t="n">
        <x:v>1</x:v>
      </x:c>
      <x:c r="D152" s="33" t="str">
        <x:v>LR-PRO</x:v>
      </x:c>
      <x:c r="E152" s="33" t="str">
        <x:v>시스템</x:v>
      </x:c>
      <x:c r="F152" s="33" t="str">
        <x:v>EA</x:v>
      </x:c>
      <x:c r="G152" s="39" t="n">
        <x:v>3</x:v>
      </x:c>
      <x:c r="H152" s="39" t="n">
        <x:v>6000000</x:v>
      </x:c>
      <x:c r="I152" s="39" t="n">
        <x:v>18000000</x:v>
      </x:c>
      <x:c r="J152" s="39" t="n">
        <x:f>G152*H152</x:f>
        <x:v>18000000</x:v>
      </x:c>
      <x:c r="K152" s="33" t="str">
        <x:f>IF(I152=J152,"일치","불일치")</x:f>
        <x:v>일치</x:v>
      </x:c>
      <x:c r="L152" s="33" t="str">
        <x:v>운영 구성</x:v>
      </x:c>
      <x:c r="M152" s="34" t="str">
        <x:v>p.1 품목표</x:v>
      </x:c>
    </x:row>
    <x:row r="153" ht="24" customHeight="1">
      <x:c r="A153" s="32" t="str">
        <x:v>QUOTE-033</x:v>
      </x:c>
      <x:c r="B153" s="33" t="str">
        <x:v>견적서_33.pdf</x:v>
      </x:c>
      <x:c r="C153" s="33" t="n">
        <x:v>2</x:v>
      </x:c>
      <x:c r="D153" s="33" t="str">
        <x:v>LP1500</x:v>
      </x:c>
      <x:c r="E153" s="33" t="str">
        <x:v>프로브</x:v>
      </x:c>
      <x:c r="F153" s="33" t="str">
        <x:v>EA</x:v>
      </x:c>
      <x:c r="G153" s="39" t="n">
        <x:v>7</x:v>
      </x:c>
      <x:c r="H153" s="39" t="n">
        <x:v>145000</x:v>
      </x:c>
      <x:c r="I153" s="39" t="n">
        <x:v>1015000</x:v>
      </x:c>
      <x:c r="J153" s="39" t="n">
        <x:f>G153*H153</x:f>
        <x:v>1015000</x:v>
      </x:c>
      <x:c r="K153" s="33" t="str">
        <x:f>IF(I153=J153,"일치","불일치")</x:f>
        <x:v>일치</x:v>
      </x:c>
      <x:c r="L153" s="33" t="str">
        <x:v>기본 소모품</x:v>
      </x:c>
      <x:c r="M153" s="34" t="str">
        <x:v>p.1 품목표</x:v>
      </x:c>
    </x:row>
    <x:row r="154" ht="24" customHeight="1">
      <x:c r="A154" s="32" t="str">
        <x:v>QUOTE-033</x:v>
      </x:c>
      <x:c r="B154" s="33" t="str">
        <x:v>견적서_33.pdf</x:v>
      </x:c>
      <x:c r="C154" s="33" t="n">
        <x:v>3</x:v>
      </x:c>
      <x:c r="D154" s="33" t="str">
        <x:v>LP200</x:v>
      </x:c>
      <x:c r="E154" s="33" t="str">
        <x:v>부품</x:v>
      </x:c>
      <x:c r="F154" s="33" t="str">
        <x:v>EA</x:v>
      </x:c>
      <x:c r="G154" s="39" t="n">
        <x:v>10</x:v>
      </x:c>
      <x:c r="H154" s="39" t="n">
        <x:v>240000</x:v>
      </x:c>
      <x:c r="I154" s="39" t="n">
        <x:v>2400000</x:v>
      </x:c>
      <x:c r="J154" s="39" t="n">
        <x:f>G154*H154</x:f>
        <x:v>2400000</x:v>
      </x:c>
      <x:c r="K154" s="33" t="str">
        <x:f>IF(I154=J154,"일치","불일치")</x:f>
        <x:v>일치</x:v>
      </x:c>
      <x:c r="L154" s="33" t="str">
        <x:v>교체용</x:v>
      </x:c>
      <x:c r="M154" s="34" t="str">
        <x:v>p.1 품목표</x:v>
      </x:c>
    </x:row>
    <x:row r="155" ht="24" customHeight="1">
      <x:c r="A155" s="32" t="str">
        <x:v>QUOTE-033</x:v>
      </x:c>
      <x:c r="B155" s="33" t="str">
        <x:v>견적서_33.pdf</x:v>
      </x:c>
      <x:c r="C155" s="33" t="n">
        <x:v>4</x:v>
      </x:c>
      <x:c r="D155" s="33" t="str">
        <x:v>LR-CORE1</x:v>
      </x:c>
      <x:c r="E155" s="33" t="str">
        <x:v>액세서리</x:v>
      </x:c>
      <x:c r="F155" s="33" t="str">
        <x:v>EA</x:v>
      </x:c>
      <x:c r="G155" s="39" t="n">
        <x:v>4</x:v>
      </x:c>
      <x:c r="H155" s="39" t="n">
        <x:v>4200000</x:v>
      </x:c>
      <x:c r="I155" s="39" t="n">
        <x:v>16800000</x:v>
      </x:c>
      <x:c r="J155" s="39" t="n">
        <x:f>G155*H155</x:f>
        <x:v>16800000</x:v>
      </x:c>
      <x:c r="K155" s="33" t="str">
        <x:f>IF(I155=J155,"일치","불일치")</x:f>
        <x:v>일치</x:v>
      </x:c>
      <x:c r="L155" s="33" t="str">
        <x:v>확장 구성</x:v>
      </x:c>
      <x:c r="M155" s="34" t="str">
        <x:v>p.1 품목표</x:v>
      </x:c>
    </x:row>
    <x:row r="156" ht="24" customHeight="1">
      <x:c r="A156" s="32" t="str">
        <x:v>QUOTE-033</x:v>
      </x:c>
      <x:c r="B156" s="33" t="str">
        <x:v>견적서_33.pdf</x:v>
      </x:c>
      <x:c r="C156" s="33" t="n">
        <x:v>5</x:v>
      </x:c>
      <x:c r="D156" s="33" t="str">
        <x:v>LP1000</x:v>
      </x:c>
      <x:c r="E156" s="33" t="str">
        <x:v>프로브</x:v>
      </x:c>
      <x:c r="F156" s="33" t="str">
        <x:v>EA</x:v>
      </x:c>
      <x:c r="G156" s="39" t="n">
        <x:v>6</x:v>
      </x:c>
      <x:c r="H156" s="39" t="n">
        <x:v>130000</x:v>
      </x:c>
      <x:c r="I156" s="39" t="n">
        <x:v>780000</x:v>
      </x:c>
      <x:c r="J156" s="39" t="n">
        <x:f>G156*H156</x:f>
        <x:v>780000</x:v>
      </x:c>
      <x:c r="K156" s="33" t="str">
        <x:f>IF(I156=J156,"일치","불일치")</x:f>
        <x:v>일치</x:v>
      </x:c>
      <x:c r="L156" s="33" t="str">
        <x:v>추가 구성</x:v>
      </x:c>
      <x:c r="M156" s="34" t="str">
        <x:v>p.1 품목표</x:v>
      </x:c>
    </x:row>
    <x:row r="157" ht="24" customHeight="1">
      <x:c r="A157" s="32" t="str">
        <x:v>QUOTE-034</x:v>
      </x:c>
      <x:c r="B157" s="33" t="str">
        <x:v>견적서_34.pdf</x:v>
      </x:c>
      <x:c r="C157" s="33" t="n">
        <x:v>1</x:v>
      </x:c>
      <x:c r="D157" s="33" t="str">
        <x:v>LR2000</x:v>
      </x:c>
      <x:c r="E157" s="33" t="str">
        <x:v>시스템</x:v>
      </x:c>
      <x:c r="F157" s="33" t="str">
        <x:v>EA</x:v>
      </x:c>
      <x:c r="G157" s="39" t="n">
        <x:v>1</x:v>
      </x:c>
      <x:c r="H157" s="39" t="n">
        <x:v>5200000</x:v>
      </x:c>
      <x:c r="I157" s="39" t="n">
        <x:v>5200000</x:v>
      </x:c>
      <x:c r="J157" s="39" t="n">
        <x:f>G157*H157</x:f>
        <x:v>5200000</x:v>
      </x:c>
      <x:c r="K157" s="33" t="str">
        <x:f>IF(I157=J157,"일치","불일치")</x:f>
        <x:v>일치</x:v>
      </x:c>
      <x:c r="L157" s="33" t="str">
        <x:v>설치 대상</x:v>
      </x:c>
      <x:c r="M157" s="34" t="str">
        <x:v>p.1 품목표</x:v>
      </x:c>
    </x:row>
    <x:row r="158" ht="24" customHeight="1">
      <x:c r="A158" s="32" t="str">
        <x:v>QUOTE-034</x:v>
      </x:c>
      <x:c r="B158" s="33" t="str">
        <x:v>견적서_34.pdf</x:v>
      </x:c>
      <x:c r="C158" s="33" t="n">
        <x:v>2</x:v>
      </x:c>
      <x:c r="D158" s="33" t="str">
        <x:v>LP200</x:v>
      </x:c>
      <x:c r="E158" s="33" t="str">
        <x:v>부품</x:v>
      </x:c>
      <x:c r="F158" s="33" t="str">
        <x:v>EA</x:v>
      </x:c>
      <x:c r="G158" s="39" t="n">
        <x:v>10</x:v>
      </x:c>
      <x:c r="H158" s="39" t="n">
        <x:v>240000</x:v>
      </x:c>
      <x:c r="I158" s="39" t="n">
        <x:v>2400000</x:v>
      </x:c>
      <x:c r="J158" s="39" t="n">
        <x:f>G158*H158</x:f>
        <x:v>2400000</x:v>
      </x:c>
      <x:c r="K158" s="33" t="str">
        <x:f>IF(I158=J158,"일치","불일치")</x:f>
        <x:v>일치</x:v>
      </x:c>
      <x:c r="L158" s="33" t="str">
        <x:v>유지보수</x:v>
      </x:c>
      <x:c r="M158" s="34" t="str">
        <x:v>p.1 품목표</x:v>
      </x:c>
    </x:row>
    <x:row r="159" ht="24" customHeight="1">
      <x:c r="A159" s="32" t="str">
        <x:v>QUOTE-034</x:v>
      </x:c>
      <x:c r="B159" s="33" t="str">
        <x:v>견적서_34.pdf</x:v>
      </x:c>
      <x:c r="C159" s="33" t="n">
        <x:v>3</x:v>
      </x:c>
      <x:c r="D159" s="33" t="str">
        <x:v>LP100</x:v>
      </x:c>
      <x:c r="E159" s="33" t="str">
        <x:v>부품</x:v>
      </x:c>
      <x:c r="F159" s="33" t="str">
        <x:v>EA</x:v>
      </x:c>
      <x:c r="G159" s="39" t="n">
        <x:v>8</x:v>
      </x:c>
      <x:c r="H159" s="39" t="n">
        <x:v>180000</x:v>
      </x:c>
      <x:c r="I159" s="39" t="n">
        <x:v>1440000</x:v>
      </x:c>
      <x:c r="J159" s="39" t="n">
        <x:f>G159*H159</x:f>
        <x:v>1440000</x:v>
      </x:c>
      <x:c r="K159" s="33" t="str">
        <x:f>IF(I159=J159,"일치","불일치")</x:f>
        <x:v>일치</x:v>
      </x:c>
      <x:c r="L159" s="33" t="str">
        <x:v>예비 구성</x:v>
      </x:c>
      <x:c r="M159" s="34" t="str">
        <x:v>p.1 품목표</x:v>
      </x:c>
    </x:row>
    <x:row r="160" ht="24" customHeight="1">
      <x:c r="A160" s="32" t="str">
        <x:v>QUOTE-035</x:v>
      </x:c>
      <x:c r="B160" s="33" t="str">
        <x:v>견적서_35.pdf</x:v>
      </x:c>
      <x:c r="C160" s="33" t="n">
        <x:v>1</x:v>
      </x:c>
      <x:c r="D160" s="33" t="str">
        <x:v>LP1000</x:v>
      </x:c>
      <x:c r="E160" s="33" t="str">
        <x:v>프로브</x:v>
      </x:c>
      <x:c r="F160" s="33" t="str">
        <x:v>EA</x:v>
      </x:c>
      <x:c r="G160" s="39" t="n">
        <x:v>8</x:v>
      </x:c>
      <x:c r="H160" s="39" t="n">
        <x:v>130000</x:v>
      </x:c>
      <x:c r="I160" s="39" t="n">
        <x:v>1040000</x:v>
      </x:c>
      <x:c r="J160" s="39" t="n">
        <x:f>G160*H160</x:f>
        <x:v>1040000</x:v>
      </x:c>
      <x:c r="K160" s="33" t="str">
        <x:f>IF(I160=J160,"일치","불일치")</x:f>
        <x:v>일치</x:v>
      </x:c>
      <x:c r="L160" s="33" t="str">
        <x:v>기본 소모품</x:v>
      </x:c>
      <x:c r="M160" s="34" t="str">
        <x:v>p.1 품목표</x:v>
      </x:c>
    </x:row>
    <x:row r="161" ht="24" customHeight="1">
      <x:c r="A161" s="32" t="str">
        <x:v>QUOTE-035</x:v>
      </x:c>
      <x:c r="B161" s="33" t="str">
        <x:v>견적서_35.pdf</x:v>
      </x:c>
      <x:c r="C161" s="33" t="n">
        <x:v>2</x:v>
      </x:c>
      <x:c r="D161" s="33" t="str">
        <x:v>LR-CORE1</x:v>
      </x:c>
      <x:c r="E161" s="33" t="str">
        <x:v>액세서리</x:v>
      </x:c>
      <x:c r="F161" s="33" t="str">
        <x:v>EA</x:v>
      </x:c>
      <x:c r="G161" s="39" t="n">
        <x:v>1</x:v>
      </x:c>
      <x:c r="H161" s="39" t="n">
        <x:v>4200000</x:v>
      </x:c>
      <x:c r="I161" s="39" t="n">
        <x:v>4200000</x:v>
      </x:c>
      <x:c r="J161" s="39" t="n">
        <x:f>G161*H161</x:f>
        <x:v>4200000</x:v>
      </x:c>
      <x:c r="K161" s="33" t="str">
        <x:f>IF(I161=J161,"일치","불일치")</x:f>
        <x:v>일치</x:v>
      </x:c>
      <x:c r="L161" s="33" t="str">
        <x:v>확장 구성</x:v>
      </x:c>
      <x:c r="M161" s="34" t="str">
        <x:v>p.1 품목표</x:v>
      </x:c>
    </x:row>
    <x:row r="162" ht="24" customHeight="1">
      <x:c r="A162" s="32" t="str">
        <x:v>QUOTE-035</x:v>
      </x:c>
      <x:c r="B162" s="33" t="str">
        <x:v>견적서_35.pdf</x:v>
      </x:c>
      <x:c r="C162" s="33" t="n">
        <x:v>3</x:v>
      </x:c>
      <x:c r="D162" s="33" t="str">
        <x:v>LR-PRO</x:v>
      </x:c>
      <x:c r="E162" s="33" t="str">
        <x:v>시스템</x:v>
      </x:c>
      <x:c r="F162" s="33" t="str">
        <x:v>EA</x:v>
      </x:c>
      <x:c r="G162" s="39" t="n">
        <x:v>2</x:v>
      </x:c>
      <x:c r="H162" s="39" t="n">
        <x:v>6000000</x:v>
      </x:c>
      <x:c r="I162" s="39" t="n">
        <x:v>12000000</x:v>
      </x:c>
      <x:c r="J162" s="39" t="n">
        <x:f>G162*H162</x:f>
        <x:v>12000000</x:v>
      </x:c>
      <x:c r="K162" s="33" t="str">
        <x:f>IF(I162=J162,"일치","불일치")</x:f>
        <x:v>일치</x:v>
      </x:c>
      <x:c r="L162" s="33" t="str">
        <x:v>기본 구성</x:v>
      </x:c>
      <x:c r="M162" s="34" t="str">
        <x:v>p.1 품목표</x:v>
      </x:c>
    </x:row>
    <x:row r="163" ht="24" customHeight="1">
      <x:c r="A163" s="32" t="str">
        <x:v>QUOTE-036</x:v>
      </x:c>
      <x:c r="B163" s="33" t="str">
        <x:v>견적서_36.pdf</x:v>
      </x:c>
      <x:c r="C163" s="33" t="n">
        <x:v>1</x:v>
      </x:c>
      <x:c r="D163" s="33" t="str">
        <x:v>LR-CORE1</x:v>
      </x:c>
      <x:c r="E163" s="33" t="str">
        <x:v>액세서리</x:v>
      </x:c>
      <x:c r="F163" s="33" t="str">
        <x:v>EA</x:v>
      </x:c>
      <x:c r="G163" s="39" t="n">
        <x:v>4</x:v>
      </x:c>
      <x:c r="H163" s="39" t="n">
        <x:v>4200000</x:v>
      </x:c>
      <x:c r="I163" s="39" t="n">
        <x:v>16800000</x:v>
      </x:c>
      <x:c r="J163" s="39" t="n">
        <x:f>G163*H163</x:f>
        <x:v>16800000</x:v>
      </x:c>
      <x:c r="K163" s="33" t="str">
        <x:f>IF(I163=J163,"일치","불일치")</x:f>
        <x:v>일치</x:v>
      </x:c>
      <x:c r="L163" s="33" t="str">
        <x:v>확장 구성</x:v>
      </x:c>
      <x:c r="M163" s="34" t="str">
        <x:v>p.1 품목표</x:v>
      </x:c>
    </x:row>
    <x:row r="164" ht="24" customHeight="1">
      <x:c r="A164" s="32" t="str">
        <x:v>QUOTE-036</x:v>
      </x:c>
      <x:c r="B164" s="33" t="str">
        <x:v>견적서_36.pdf</x:v>
      </x:c>
      <x:c r="C164" s="33" t="n">
        <x:v>2</x:v>
      </x:c>
      <x:c r="D164" s="33" t="str">
        <x:v>LR1000</x:v>
      </x:c>
      <x:c r="E164" s="33" t="str">
        <x:v>시스템</x:v>
      </x:c>
      <x:c r="F164" s="33" t="str">
        <x:v>EA</x:v>
      </x:c>
      <x:c r="G164" s="39" t="n">
        <x:v>3</x:v>
      </x:c>
      <x:c r="H164" s="39" t="n">
        <x:v>4500000</x:v>
      </x:c>
      <x:c r="I164" s="39" t="n">
        <x:v>13500000</x:v>
      </x:c>
      <x:c r="J164" s="39" t="n">
        <x:f>G164*H164</x:f>
        <x:v>13500000</x:v>
      </x:c>
      <x:c r="K164" s="33" t="str">
        <x:f>IF(I164=J164,"일치","불일치")</x:f>
        <x:v>일치</x:v>
      </x:c>
      <x:c r="L164" s="33" t="str">
        <x:v>운영 구성</x:v>
      </x:c>
      <x:c r="M164" s="34" t="str">
        <x:v>p.1 품목표</x:v>
      </x:c>
    </x:row>
    <x:row r="165" ht="24" customHeight="1">
      <x:c r="A165" s="32" t="str">
        <x:v>QUOTE-036</x:v>
      </x:c>
      <x:c r="B165" s="33" t="str">
        <x:v>견적서_36.pdf</x:v>
      </x:c>
      <x:c r="C165" s="33" t="n">
        <x:v>3</x:v>
      </x:c>
      <x:c r="D165" s="33" t="str">
        <x:v>LP1500</x:v>
      </x:c>
      <x:c r="E165" s="33" t="str">
        <x:v>프로브</x:v>
      </x:c>
      <x:c r="F165" s="33" t="str">
        <x:v>EA</x:v>
      </x:c>
      <x:c r="G165" s="39" t="n">
        <x:v>19</x:v>
      </x:c>
      <x:c r="H165" s="39" t="n">
        <x:v>145000</x:v>
      </x:c>
      <x:c r="I165" s="39" t="n">
        <x:v>2755000</x:v>
      </x:c>
      <x:c r="J165" s="39" t="n">
        <x:f>G165*H165</x:f>
        <x:v>2755000</x:v>
      </x:c>
      <x:c r="K165" s="33" t="str">
        <x:f>IF(I165=J165,"일치","불일치")</x:f>
        <x:v>일치</x:v>
      </x:c>
      <x:c r="L165" s="33" t="str">
        <x:v>현장 사용</x:v>
      </x:c>
      <x:c r="M165" s="34" t="str">
        <x:v>p.1 품목표</x:v>
      </x:c>
    </x:row>
    <x:row r="166" ht="24" customHeight="1">
      <x:c r="A166" s="32" t="str">
        <x:v>QUOTE-037</x:v>
      </x:c>
      <x:c r="B166" s="33" t="str">
        <x:v>견적서_37.pdf</x:v>
      </x:c>
      <x:c r="C166" s="33" t="n">
        <x:v>1</x:v>
      </x:c>
      <x:c r="D166" s="33" t="str">
        <x:v>LR-CORE3</x:v>
      </x:c>
      <x:c r="E166" s="33" t="str">
        <x:v>액세서리</x:v>
      </x:c>
      <x:c r="F166" s="33" t="str">
        <x:v>EA</x:v>
      </x:c>
      <x:c r="G166" s="39" t="n">
        <x:v>4</x:v>
      </x:c>
      <x:c r="H166" s="39" t="n">
        <x:v>60000</x:v>
      </x:c>
      <x:c r="I166" s="39" t="n">
        <x:v>240000</x:v>
      </x:c>
      <x:c r="J166" s="39" t="n">
        <x:f>G166*H166</x:f>
        <x:v>240000</x:v>
      </x:c>
      <x:c r="K166" s="33" t="str">
        <x:f>IF(I166=J166,"일치","불일치")</x:f>
        <x:v>일치</x:v>
      </x:c>
      <x:c r="L166" s="33" t="str">
        <x:v>현장 구성</x:v>
      </x:c>
      <x:c r="M166" s="34" t="str">
        <x:v>p.1 품목표</x:v>
      </x:c>
    </x:row>
    <x:row r="167" ht="24" customHeight="1">
      <x:c r="A167" s="32" t="str">
        <x:v>QUOTE-037</x:v>
      </x:c>
      <x:c r="B167" s="33" t="str">
        <x:v>견적서_37.pdf</x:v>
      </x:c>
      <x:c r="C167" s="33" t="n">
        <x:v>2</x:v>
      </x:c>
      <x:c r="D167" s="33" t="str">
        <x:v>LP1000</x:v>
      </x:c>
      <x:c r="E167" s="33" t="str">
        <x:v>프로브</x:v>
      </x:c>
      <x:c r="F167" s="33" t="str">
        <x:v>EA</x:v>
      </x:c>
      <x:c r="G167" s="39" t="n">
        <x:v>19</x:v>
      </x:c>
      <x:c r="H167" s="39" t="n">
        <x:v>130000</x:v>
      </x:c>
      <x:c r="I167" s="39" t="n">
        <x:v>2470000</x:v>
      </x:c>
      <x:c r="J167" s="39" t="n">
        <x:f>G167*H167</x:f>
        <x:v>2470000</x:v>
      </x:c>
      <x:c r="K167" s="33" t="str">
        <x:f>IF(I167=J167,"일치","불일치")</x:f>
        <x:v>일치</x:v>
      </x:c>
      <x:c r="L167" s="33" t="str">
        <x:v>기본 소모품</x:v>
      </x:c>
      <x:c r="M167" s="34" t="str">
        <x:v>p.1 품목표</x:v>
      </x:c>
    </x:row>
    <x:row r="168" ht="24" customHeight="1">
      <x:c r="A168" s="32" t="str">
        <x:v>QUOTE-037</x:v>
      </x:c>
      <x:c r="B168" s="33" t="str">
        <x:v>견적서_37.pdf</x:v>
      </x:c>
      <x:c r="C168" s="33" t="n">
        <x:v>3</x:v>
      </x:c>
      <x:c r="D168" s="33" t="str">
        <x:v>LR-PRO</x:v>
      </x:c>
      <x:c r="E168" s="33" t="str">
        <x:v>시스템</x:v>
      </x:c>
      <x:c r="F168" s="33" t="str">
        <x:v>EA</x:v>
      </x:c>
      <x:c r="G168" s="39" t="n">
        <x:v>1</x:v>
      </x:c>
      <x:c r="H168" s="39" t="n">
        <x:v>6000000</x:v>
      </x:c>
      <x:c r="I168" s="39" t="n">
        <x:v>6000000</x:v>
      </x:c>
      <x:c r="J168" s="39" t="n">
        <x:f>G168*H168</x:f>
        <x:v>6000000</x:v>
      </x:c>
      <x:c r="K168" s="33" t="str">
        <x:f>IF(I168=J168,"일치","불일치")</x:f>
        <x:v>일치</x:v>
      </x:c>
      <x:c r="L168" s="33" t="str">
        <x:v>운영 구성</x:v>
      </x:c>
      <x:c r="M168" s="34" t="str">
        <x:v>p.1 품목표</x:v>
      </x:c>
    </x:row>
    <x:row r="169" ht="24" customHeight="1">
      <x:c r="A169" s="32" t="str">
        <x:v>QUOTE-038</x:v>
      </x:c>
      <x:c r="B169" s="33" t="str">
        <x:v>견적서_38.pdf</x:v>
      </x:c>
      <x:c r="C169" s="33" t="n">
        <x:v>1</x:v>
      </x:c>
      <x:c r="D169" s="33" t="str">
        <x:v>LP2000</x:v>
      </x:c>
      <x:c r="E169" s="33" t="str">
        <x:v>프로브</x:v>
      </x:c>
      <x:c r="F169" s="33" t="str">
        <x:v>EA</x:v>
      </x:c>
      <x:c r="G169" s="39" t="n">
        <x:v>9</x:v>
      </x:c>
      <x:c r="H169" s="39" t="n">
        <x:v>175000</x:v>
      </x:c>
      <x:c r="I169" s="39" t="n">
        <x:v>1575000</x:v>
      </x:c>
      <x:c r="J169" s="39" t="n">
        <x:f>G169*H169</x:f>
        <x:v>1575000</x:v>
      </x:c>
      <x:c r="K169" s="33" t="str">
        <x:f>IF(I169=J169,"일치","불일치")</x:f>
        <x:v>일치</x:v>
      </x:c>
      <x:c r="L169" s="33" t="str">
        <x:v>기본 소모품</x:v>
      </x:c>
      <x:c r="M169" s="34" t="str">
        <x:v>p.1 품목표</x:v>
      </x:c>
    </x:row>
    <x:row r="170" ht="24" customHeight="1">
      <x:c r="A170" s="32" t="str">
        <x:v>QUOTE-038</x:v>
      </x:c>
      <x:c r="B170" s="33" t="str">
        <x:v>견적서_38.pdf</x:v>
      </x:c>
      <x:c r="C170" s="33" t="n">
        <x:v>2</x:v>
      </x:c>
      <x:c r="D170" s="33" t="str">
        <x:v>LR-PRO</x:v>
      </x:c>
      <x:c r="E170" s="33" t="str">
        <x:v>시스템</x:v>
      </x:c>
      <x:c r="F170" s="33" t="str">
        <x:v>EA</x:v>
      </x:c>
      <x:c r="G170" s="39" t="n">
        <x:v>3</x:v>
      </x:c>
      <x:c r="H170" s="39" t="n">
        <x:v>6000000</x:v>
      </x:c>
      <x:c r="I170" s="39" t="n">
        <x:v>18000000</x:v>
      </x:c>
      <x:c r="J170" s="39" t="n">
        <x:f>G170*H170</x:f>
        <x:v>18000000</x:v>
      </x:c>
      <x:c r="K170" s="33" t="str">
        <x:f>IF(I170=J170,"일치","불일치")</x:f>
        <x:v>일치</x:v>
      </x:c>
      <x:c r="L170" s="33" t="str">
        <x:v>설치 대상</x:v>
      </x:c>
      <x:c r="M170" s="34" t="str">
        <x:v>p.1 품목표</x:v>
      </x:c>
    </x:row>
    <x:row r="171" ht="24" customHeight="1">
      <x:c r="A171" s="32" t="str">
        <x:v>QUOTE-038</x:v>
      </x:c>
      <x:c r="B171" s="33" t="str">
        <x:v>견적서_38.pdf</x:v>
      </x:c>
      <x:c r="C171" s="33" t="n">
        <x:v>3</x:v>
      </x:c>
      <x:c r="D171" s="33" t="str">
        <x:v>LP200</x:v>
      </x:c>
      <x:c r="E171" s="33" t="str">
        <x:v>부품</x:v>
      </x:c>
      <x:c r="F171" s="33" t="str">
        <x:v>EA</x:v>
      </x:c>
      <x:c r="G171" s="39" t="n">
        <x:v>6</x:v>
      </x:c>
      <x:c r="H171" s="39" t="n">
        <x:v>240000</x:v>
      </x:c>
      <x:c r="I171" s="39" t="n">
        <x:v>1440000</x:v>
      </x:c>
      <x:c r="J171" s="39" t="n">
        <x:f>G171*H171</x:f>
        <x:v>1440000</x:v>
      </x:c>
      <x:c r="K171" s="33" t="str">
        <x:f>IF(I171=J171,"일치","불일치")</x:f>
        <x:v>일치</x:v>
      </x:c>
      <x:c r="L171" s="33" t="str">
        <x:v>교체용</x:v>
      </x:c>
      <x:c r="M171" s="34" t="str">
        <x:v>p.1 품목표</x:v>
      </x:c>
    </x:row>
    <x:row r="172" ht="24" customHeight="1">
      <x:c r="A172" s="32" t="str">
        <x:v>QUOTE-039</x:v>
      </x:c>
      <x:c r="B172" s="33" t="str">
        <x:v>견적서_39.pdf</x:v>
      </x:c>
      <x:c r="C172" s="33" t="n">
        <x:v>1</x:v>
      </x:c>
      <x:c r="D172" s="33" t="str">
        <x:v>LR-CORE2</x:v>
      </x:c>
      <x:c r="E172" s="33" t="str">
        <x:v>액세서리</x:v>
      </x:c>
      <x:c r="F172" s="33" t="str">
        <x:v>EA</x:v>
      </x:c>
      <x:c r="G172" s="39" t="n">
        <x:v>4</x:v>
      </x:c>
      <x:c r="H172" s="39" t="n">
        <x:v>4800000</x:v>
      </x:c>
      <x:c r="I172" s="39" t="n">
        <x:v>19200000</x:v>
      </x:c>
      <x:c r="J172" s="39" t="n">
        <x:f>G172*H172</x:f>
        <x:v>19200000</x:v>
      </x:c>
      <x:c r="K172" s="33" t="str">
        <x:f>IF(I172=J172,"일치","불일치")</x:f>
        <x:v>일치</x:v>
      </x:c>
      <x:c r="L172" s="33" t="str">
        <x:v>운영 보조</x:v>
      </x:c>
      <x:c r="M172" s="34" t="str">
        <x:v>p.1 품목표</x:v>
      </x:c>
    </x:row>
    <x:row r="173" ht="24" customHeight="1">
      <x:c r="A173" s="32" t="str">
        <x:v>QUOTE-039</x:v>
      </x:c>
      <x:c r="B173" s="33" t="str">
        <x:v>견적서_39.pdf</x:v>
      </x:c>
      <x:c r="C173" s="33" t="n">
        <x:v>2</x:v>
      </x:c>
      <x:c r="D173" s="33" t="str">
        <x:v>LP1500</x:v>
      </x:c>
      <x:c r="E173" s="33" t="str">
        <x:v>프로브</x:v>
      </x:c>
      <x:c r="F173" s="33" t="str">
        <x:v>EA</x:v>
      </x:c>
      <x:c r="G173" s="39" t="n">
        <x:v>7</x:v>
      </x:c>
      <x:c r="H173" s="39" t="n">
        <x:v>145000</x:v>
      </x:c>
      <x:c r="I173" s="39" t="n">
        <x:v>1015000</x:v>
      </x:c>
      <x:c r="J173" s="39" t="n">
        <x:f>G173*H173</x:f>
        <x:v>1015000</x:v>
      </x:c>
      <x:c r="K173" s="33" t="str">
        <x:f>IF(I173=J173,"일치","불일치")</x:f>
        <x:v>일치</x:v>
      </x:c>
      <x:c r="L173" s="33" t="str">
        <x:v>현장 사용</x:v>
      </x:c>
      <x:c r="M173" s="34" t="str">
        <x:v>p.1 품목표</x:v>
      </x:c>
    </x:row>
    <x:row r="174" ht="24" customHeight="1">
      <x:c r="A174" s="32" t="str">
        <x:v>QUOTE-039</x:v>
      </x:c>
      <x:c r="B174" s="33" t="str">
        <x:v>견적서_39.pdf</x:v>
      </x:c>
      <x:c r="C174" s="33" t="n">
        <x:v>3</x:v>
      </x:c>
      <x:c r="D174" s="33" t="str">
        <x:v>LP1000</x:v>
      </x:c>
      <x:c r="E174" s="33" t="str">
        <x:v>프로브</x:v>
      </x:c>
      <x:c r="F174" s="33" t="str">
        <x:v>EA</x:v>
      </x:c>
      <x:c r="G174" s="39" t="n">
        <x:v>6</x:v>
      </x:c>
      <x:c r="H174" s="39" t="n">
        <x:v>130000</x:v>
      </x:c>
      <x:c r="I174" s="39" t="n">
        <x:v>780000</x:v>
      </x:c>
      <x:c r="J174" s="39" t="n">
        <x:f>G174*H174</x:f>
        <x:v>780000</x:v>
      </x:c>
      <x:c r="K174" s="33" t="str">
        <x:f>IF(I174=J174,"일치","불일치")</x:f>
        <x:v>일치</x:v>
      </x:c>
      <x:c r="L174" s="33" t="str">
        <x:v>추가 구성</x:v>
      </x:c>
      <x:c r="M174" s="34" t="str">
        <x:v>p.1 품목표</x:v>
      </x:c>
    </x:row>
    <x:row r="175" ht="24" customHeight="1">
      <x:c r="A175" s="32" t="str">
        <x:v>QUOTE-039</x:v>
      </x:c>
      <x:c r="B175" s="33" t="str">
        <x:v>견적서_39.pdf</x:v>
      </x:c>
      <x:c r="C175" s="33" t="n">
        <x:v>4</x:v>
      </x:c>
      <x:c r="D175" s="33" t="str">
        <x:v>LR-CORE1</x:v>
      </x:c>
      <x:c r="E175" s="33" t="str">
        <x:v>액세서리</x:v>
      </x:c>
      <x:c r="F175" s="33" t="str">
        <x:v>EA</x:v>
      </x:c>
      <x:c r="G175" s="39" t="n">
        <x:v>3</x:v>
      </x:c>
      <x:c r="H175" s="39" t="n">
        <x:v>4200000</x:v>
      </x:c>
      <x:c r="I175" s="39" t="n">
        <x:v>12600000</x:v>
      </x:c>
      <x:c r="J175" s="39" t="n">
        <x:f>G175*H175</x:f>
        <x:v>12600000</x:v>
      </x:c>
      <x:c r="K175" s="33" t="str">
        <x:f>IF(I175=J175,"일치","불일치")</x:f>
        <x:v>일치</x:v>
      </x:c>
      <x:c r="L175" s="33" t="str">
        <x:v>운영 보조</x:v>
      </x:c>
      <x:c r="M175" s="34" t="str">
        <x:v>p.1 품목표</x:v>
      </x:c>
    </x:row>
    <x:row r="176" ht="24" customHeight="1">
      <x:c r="A176" s="32" t="str">
        <x:v>QUOTE-039</x:v>
      </x:c>
      <x:c r="B176" s="33" t="str">
        <x:v>견적서_39.pdf</x:v>
      </x:c>
      <x:c r="C176" s="33" t="n">
        <x:v>5</x:v>
      </x:c>
      <x:c r="D176" s="33" t="str">
        <x:v>LR-PRO</x:v>
      </x:c>
      <x:c r="E176" s="33" t="str">
        <x:v>시스템</x:v>
      </x:c>
      <x:c r="F176" s="33" t="str">
        <x:v>EA</x:v>
      </x:c>
      <x:c r="G176" s="39" t="n">
        <x:v>1</x:v>
      </x:c>
      <x:c r="H176" s="39" t="n">
        <x:v>6000000</x:v>
      </x:c>
      <x:c r="I176" s="39" t="n">
        <x:v>6000000</x:v>
      </x:c>
      <x:c r="J176" s="39" t="n">
        <x:f>G176*H176</x:f>
        <x:v>6000000</x:v>
      </x:c>
      <x:c r="K176" s="33" t="str">
        <x:f>IF(I176=J176,"일치","불일치")</x:f>
        <x:v>일치</x:v>
      </x:c>
      <x:c r="L176" s="33" t="str">
        <x:v>기본 구성</x:v>
      </x:c>
      <x:c r="M176" s="34" t="str">
        <x:v>p.1 품목표</x:v>
      </x:c>
    </x:row>
    <x:row r="177" ht="24" customHeight="1">
      <x:c r="A177" s="32" t="str">
        <x:v>QUOTE-039</x:v>
      </x:c>
      <x:c r="B177" s="33" t="str">
        <x:v>견적서_39.pdf</x:v>
      </x:c>
      <x:c r="C177" s="33" t="n">
        <x:v>6</x:v>
      </x:c>
      <x:c r="D177" s="33" t="str">
        <x:v>LP100</x:v>
      </x:c>
      <x:c r="E177" s="33" t="str">
        <x:v>부품</x:v>
      </x:c>
      <x:c r="F177" s="33" t="str">
        <x:v>EA</x:v>
      </x:c>
      <x:c r="G177" s="39" t="n">
        <x:v>8</x:v>
      </x:c>
      <x:c r="H177" s="39" t="n">
        <x:v>180000</x:v>
      </x:c>
      <x:c r="I177" s="39" t="n">
        <x:v>1440000</x:v>
      </x:c>
      <x:c r="J177" s="39" t="n">
        <x:f>G177*H177</x:f>
        <x:v>1440000</x:v>
      </x:c>
      <x:c r="K177" s="33" t="str">
        <x:f>IF(I177=J177,"일치","불일치")</x:f>
        <x:v>일치</x:v>
      </x:c>
      <x:c r="L177" s="33" t="str">
        <x:v>예비 구성</x:v>
      </x:c>
      <x:c r="M177" s="34" t="str">
        <x:v>p.1 품목표</x:v>
      </x:c>
    </x:row>
    <x:row r="178" ht="24" customHeight="1">
      <x:c r="A178" s="32" t="str">
        <x:v>QUOTE-040</x:v>
      </x:c>
      <x:c r="B178" s="33" t="str">
        <x:v>견적서_40.pdf</x:v>
      </x:c>
      <x:c r="C178" s="33" t="n">
        <x:v>1</x:v>
      </x:c>
      <x:c r="D178" s="33" t="str">
        <x:v>LR-CORE1</x:v>
      </x:c>
      <x:c r="E178" s="33" t="str">
        <x:v>액세서리</x:v>
      </x:c>
      <x:c r="F178" s="33" t="str">
        <x:v>EA</x:v>
      </x:c>
      <x:c r="G178" s="39" t="n">
        <x:v>5</x:v>
      </x:c>
      <x:c r="H178" s="39" t="n">
        <x:v>4200000</x:v>
      </x:c>
      <x:c r="I178" s="39" t="n">
        <x:v>21000000</x:v>
      </x:c>
      <x:c r="J178" s="39" t="n">
        <x:f>G178*H178</x:f>
        <x:v>21000000</x:v>
      </x:c>
      <x:c r="K178" s="33" t="str">
        <x:f>IF(I178=J178,"일치","불일치")</x:f>
        <x:v>일치</x:v>
      </x:c>
      <x:c r="L178" s="33" t="str">
        <x:v>운영 보조</x:v>
      </x:c>
      <x:c r="M178" s="34" t="str">
        <x:v>p.1 품목표</x:v>
      </x:c>
    </x:row>
    <x:row r="179" ht="24" customHeight="1">
      <x:c r="A179" s="32" t="str">
        <x:v>QUOTE-040</x:v>
      </x:c>
      <x:c r="B179" s="33" t="str">
        <x:v>견적서_40.pdf</x:v>
      </x:c>
      <x:c r="C179" s="33" t="n">
        <x:v>2</x:v>
      </x:c>
      <x:c r="D179" s="33" t="str">
        <x:v>LR-CORE3</x:v>
      </x:c>
      <x:c r="E179" s="33" t="str">
        <x:v>액세서리</x:v>
      </x:c>
      <x:c r="F179" s="33" t="str">
        <x:v>EA</x:v>
      </x:c>
      <x:c r="G179" s="39" t="n">
        <x:v>1</x:v>
      </x:c>
      <x:c r="H179" s="39" t="n">
        <x:v>60000</x:v>
      </x:c>
      <x:c r="I179" s="39" t="n">
        <x:v>60000</x:v>
      </x:c>
      <x:c r="J179" s="39" t="n">
        <x:f>G179*H179</x:f>
        <x:v>60000</x:v>
      </x:c>
      <x:c r="K179" s="33" t="str">
        <x:f>IF(I179=J179,"일치","불일치")</x:f>
        <x:v>일치</x:v>
      </x:c>
      <x:c r="L179" s="33" t="str">
        <x:v>운영 보조</x:v>
      </x:c>
      <x:c r="M179" s="34" t="str">
        <x:v>p.1 품목표</x:v>
      </x:c>
    </x:row>
    <x:row r="180" ht="24" customHeight="1">
      <x:c r="A180" s="32" t="str">
        <x:v>QUOTE-040</x:v>
      </x:c>
      <x:c r="B180" s="33" t="str">
        <x:v>견적서_40.pdf</x:v>
      </x:c>
      <x:c r="C180" s="33" t="n">
        <x:v>3</x:v>
      </x:c>
      <x:c r="D180" s="33" t="str">
        <x:v>LP2000</x:v>
      </x:c>
      <x:c r="E180" s="33" t="str">
        <x:v>프로브</x:v>
      </x:c>
      <x:c r="F180" s="33" t="str">
        <x:v>EA</x:v>
      </x:c>
      <x:c r="G180" s="39" t="n">
        <x:v>13</x:v>
      </x:c>
      <x:c r="H180" s="39" t="n">
        <x:v>175000</x:v>
      </x:c>
      <x:c r="I180" s="39" t="n">
        <x:v>2275000</x:v>
      </x:c>
      <x:c r="J180" s="39" t="n">
        <x:f>G180*H180</x:f>
        <x:v>2275000</x:v>
      </x:c>
      <x:c r="K180" s="33" t="str">
        <x:f>IF(I180=J180,"일치","불일치")</x:f>
        <x:v>일치</x:v>
      </x:c>
      <x:c r="L180" s="33" t="str">
        <x:v>기본 소모품</x:v>
      </x:c>
      <x:c r="M180" s="34" t="str">
        <x:v>p.1 품목표</x:v>
      </x:c>
    </x:row>
    <x:row r="181" ht="24" customHeight="1">
      <x:c r="A181" s="32" t="str">
        <x:v>QUOTE-040</x:v>
      </x:c>
      <x:c r="B181" s="33" t="str">
        <x:v>견적서_40.pdf</x:v>
      </x:c>
      <x:c r="C181" s="33" t="n">
        <x:v>4</x:v>
      </x:c>
      <x:c r="D181" s="33" t="str">
        <x:v>LR2000</x:v>
      </x:c>
      <x:c r="E181" s="33" t="str">
        <x:v>시스템</x:v>
      </x:c>
      <x:c r="F181" s="33" t="str">
        <x:v>EA</x:v>
      </x:c>
      <x:c r="G181" s="39" t="n">
        <x:v>3</x:v>
      </x:c>
      <x:c r="H181" s="39" t="n">
        <x:v>5200000</x:v>
      </x:c>
      <x:c r="I181" s="39" t="n">
        <x:v>15600000</x:v>
      </x:c>
      <x:c r="J181" s="39" t="n">
        <x:f>G181*H181</x:f>
        <x:v>15600000</x:v>
      </x:c>
      <x:c r="K181" s="33" t="str">
        <x:f>IF(I181=J181,"일치","불일치")</x:f>
        <x:v>일치</x:v>
      </x:c>
      <x:c r="L181" s="33" t="str">
        <x:v>설치 대상</x:v>
      </x:c>
      <x:c r="M181" s="34" t="str">
        <x:v>p.1 품목표</x:v>
      </x:c>
    </x:row>
    <x:row r="182" ht="24" customHeight="1">
      <x:c r="A182" s="32" t="str">
        <x:v>QUOTE-040</x:v>
      </x:c>
      <x:c r="B182" s="33" t="str">
        <x:v>견적서_40.pdf</x:v>
      </x:c>
      <x:c r="C182" s="33" t="n">
        <x:v>5</x:v>
      </x:c>
      <x:c r="D182" s="33" t="str">
        <x:v>LP100</x:v>
      </x:c>
      <x:c r="E182" s="33" t="str">
        <x:v>부품</x:v>
      </x:c>
      <x:c r="F182" s="33" t="str">
        <x:v>EA</x:v>
      </x:c>
      <x:c r="G182" s="39" t="n">
        <x:v>7</x:v>
      </x:c>
      <x:c r="H182" s="39" t="n">
        <x:v>180000</x:v>
      </x:c>
      <x:c r="I182" s="39" t="n">
        <x:v>1260000</x:v>
      </x:c>
      <x:c r="J182" s="39" t="n">
        <x:f>G182*H182</x:f>
        <x:v>1260000</x:v>
      </x:c>
      <x:c r="K182" s="33" t="str">
        <x:f>IF(I182=J182,"일치","불일치")</x:f>
        <x:v>일치</x:v>
      </x:c>
      <x:c r="L182" s="33" t="str">
        <x:v>유지보수</x:v>
      </x:c>
      <x:c r="M182" s="34" t="str">
        <x:v>p.1 품목표</x:v>
      </x:c>
    </x:row>
    <x:row r="183" ht="24" customHeight="1">
      <x:c r="A183" s="32" t="str">
        <x:v>QUOTE-040</x:v>
      </x:c>
      <x:c r="B183" s="33" t="str">
        <x:v>견적서_40.pdf</x:v>
      </x:c>
      <x:c r="C183" s="33" t="n">
        <x:v>6</x:v>
      </x:c>
      <x:c r="D183" s="33" t="str">
        <x:v>LP1000</x:v>
      </x:c>
      <x:c r="E183" s="33" t="str">
        <x:v>프로브</x:v>
      </x:c>
      <x:c r="F183" s="33" t="str">
        <x:v>EA</x:v>
      </x:c>
      <x:c r="G183" s="39" t="n">
        <x:v>6</x:v>
      </x:c>
      <x:c r="H183" s="39" t="n">
        <x:v>130000</x:v>
      </x:c>
      <x:c r="I183" s="39" t="n">
        <x:v>780000</x:v>
      </x:c>
      <x:c r="J183" s="39" t="n">
        <x:f>G183*H183</x:f>
        <x:v>780000</x:v>
      </x:c>
      <x:c r="K183" s="33" t="str">
        <x:f>IF(I183=J183,"일치","불일치")</x:f>
        <x:v>일치</x:v>
      </x:c>
      <x:c r="L183" s="33" t="str">
        <x:v>기본 소모품</x:v>
      </x:c>
      <x:c r="M183" s="34" t="str">
        <x:v>p.1 품목표</x:v>
      </x:c>
    </x:row>
    <x:row r="184" ht="24" customHeight="1">
      <x:c r="A184" s="32" t="str">
        <x:v>QUOTE-041</x:v>
      </x:c>
      <x:c r="B184" s="33" t="str">
        <x:v>견적서_41.pdf</x:v>
      </x:c>
      <x:c r="C184" s="33" t="n">
        <x:v>1</x:v>
      </x:c>
      <x:c r="D184" s="33" t="str">
        <x:v>LP200</x:v>
      </x:c>
      <x:c r="E184" s="33" t="str">
        <x:v>부품</x:v>
      </x:c>
      <x:c r="F184" s="33" t="str">
        <x:v>EA</x:v>
      </x:c>
      <x:c r="G184" s="39" t="n">
        <x:v>9</x:v>
      </x:c>
      <x:c r="H184" s="39" t="n">
        <x:v>240000</x:v>
      </x:c>
      <x:c r="I184" s="39" t="n">
        <x:v>2160000</x:v>
      </x:c>
      <x:c r="J184" s="39" t="n">
        <x:f>G184*H184</x:f>
        <x:v>2160000</x:v>
      </x:c>
      <x:c r="K184" s="33" t="str">
        <x:f>IF(I184=J184,"일치","불일치")</x:f>
        <x:v>일치</x:v>
      </x:c>
      <x:c r="L184" s="33" t="str">
        <x:v>예비 구성</x:v>
      </x:c>
      <x:c r="M184" s="34" t="str">
        <x:v>p.1 품목표</x:v>
      </x:c>
    </x:row>
    <x:row r="185" ht="24" customHeight="1">
      <x:c r="A185" s="32" t="str">
        <x:v>QUOTE-041</x:v>
      </x:c>
      <x:c r="B185" s="33" t="str">
        <x:v>견적서_41.pdf</x:v>
      </x:c>
      <x:c r="C185" s="33" t="n">
        <x:v>2</x:v>
      </x:c>
      <x:c r="D185" s="33" t="str">
        <x:v>LP1500</x:v>
      </x:c>
      <x:c r="E185" s="33" t="str">
        <x:v>프로브</x:v>
      </x:c>
      <x:c r="F185" s="33" t="str">
        <x:v>EA</x:v>
      </x:c>
      <x:c r="G185" s="39" t="n">
        <x:v>6</x:v>
      </x:c>
      <x:c r="H185" s="39" t="n">
        <x:v>145000</x:v>
      </x:c>
      <x:c r="I185" s="39" t="n">
        <x:v>870000</x:v>
      </x:c>
      <x:c r="J185" s="39" t="n">
        <x:f>G185*H185</x:f>
        <x:v>870000</x:v>
      </x:c>
      <x:c r="K185" s="33" t="str">
        <x:f>IF(I185=J185,"일치","불일치")</x:f>
        <x:v>일치</x:v>
      </x:c>
      <x:c r="L185" s="33" t="str">
        <x:v>기본 소모품</x:v>
      </x:c>
      <x:c r="M185" s="34" t="str">
        <x:v>p.1 품목표</x:v>
      </x:c>
    </x:row>
    <x:row r="186" ht="24" customHeight="1">
      <x:c r="A186" s="32" t="str">
        <x:v>QUOTE-041</x:v>
      </x:c>
      <x:c r="B186" s="33" t="str">
        <x:v>견적서_41.pdf</x:v>
      </x:c>
      <x:c r="C186" s="33" t="n">
        <x:v>3</x:v>
      </x:c>
      <x:c r="D186" s="33" t="str">
        <x:v>LP1000</x:v>
      </x:c>
      <x:c r="E186" s="33" t="str">
        <x:v>프로브</x:v>
      </x:c>
      <x:c r="F186" s="33" t="str">
        <x:v>EA</x:v>
      </x:c>
      <x:c r="G186" s="39" t="n">
        <x:v>12</x:v>
      </x:c>
      <x:c r="H186" s="39" t="n">
        <x:v>130000</x:v>
      </x:c>
      <x:c r="I186" s="39" t="n">
        <x:v>1560000</x:v>
      </x:c>
      <x:c r="J186" s="39" t="n">
        <x:f>G186*H186</x:f>
        <x:v>1560000</x:v>
      </x:c>
      <x:c r="K186" s="33" t="str">
        <x:f>IF(I186=J186,"일치","불일치")</x:f>
        <x:v>일치</x:v>
      </x:c>
      <x:c r="L186" s="33" t="str">
        <x:v>추가 구성</x:v>
      </x:c>
      <x:c r="M186" s="34" t="str">
        <x:v>p.1 품목표</x:v>
      </x:c>
    </x:row>
    <x:row r="187" ht="24" customHeight="1">
      <x:c r="A187" s="32" t="str">
        <x:v>QUOTE-041</x:v>
      </x:c>
      <x:c r="B187" s="33" t="str">
        <x:v>견적서_41.pdf</x:v>
      </x:c>
      <x:c r="C187" s="33" t="n">
        <x:v>4</x:v>
      </x:c>
      <x:c r="D187" s="33" t="str">
        <x:v>LR-CORE3</x:v>
      </x:c>
      <x:c r="E187" s="33" t="str">
        <x:v>액세서리</x:v>
      </x:c>
      <x:c r="F187" s="33" t="str">
        <x:v>EA</x:v>
      </x:c>
      <x:c r="G187" s="39" t="n">
        <x:v>1</x:v>
      </x:c>
      <x:c r="H187" s="39" t="n">
        <x:v>60000</x:v>
      </x:c>
      <x:c r="I187" s="39" t="n">
        <x:v>60000</x:v>
      </x:c>
      <x:c r="J187" s="39" t="n">
        <x:f>G187*H187</x:f>
        <x:v>60000</x:v>
      </x:c>
      <x:c r="K187" s="33" t="str">
        <x:f>IF(I187=J187,"일치","불일치")</x:f>
        <x:v>일치</x:v>
      </x:c>
      <x:c r="L187" s="33" t="str">
        <x:v>현장 구성</x:v>
      </x:c>
      <x:c r="M187" s="34" t="str">
        <x:v>p.1 품목표</x:v>
      </x:c>
    </x:row>
    <x:row r="188" ht="24" customHeight="1">
      <x:c r="A188" s="32" t="str">
        <x:v>QUOTE-041</x:v>
      </x:c>
      <x:c r="B188" s="33" t="str">
        <x:v>견적서_41.pdf</x:v>
      </x:c>
      <x:c r="C188" s="33" t="n">
        <x:v>5</x:v>
      </x:c>
      <x:c r="D188" s="33" t="str">
        <x:v>LP100</x:v>
      </x:c>
      <x:c r="E188" s="33" t="str">
        <x:v>부품</x:v>
      </x:c>
      <x:c r="F188" s="33" t="str">
        <x:v>EA</x:v>
      </x:c>
      <x:c r="G188" s="39" t="n">
        <x:v>8</x:v>
      </x:c>
      <x:c r="H188" s="39" t="n">
        <x:v>180000</x:v>
      </x:c>
      <x:c r="I188" s="39" t="n">
        <x:v>1440000</x:v>
      </x:c>
      <x:c r="J188" s="39" t="n">
        <x:f>G188*H188</x:f>
        <x:v>1440000</x:v>
      </x:c>
      <x:c r="K188" s="33" t="str">
        <x:f>IF(I188=J188,"일치","불일치")</x:f>
        <x:v>일치</x:v>
      </x:c>
      <x:c r="L188" s="33" t="str">
        <x:v>교체용</x:v>
      </x:c>
      <x:c r="M188" s="34" t="str">
        <x:v>p.1 품목표</x:v>
      </x:c>
    </x:row>
    <x:row r="189" ht="24" customHeight="1">
      <x:c r="A189" s="32" t="str">
        <x:v>QUOTE-041</x:v>
      </x:c>
      <x:c r="B189" s="33" t="str">
        <x:v>견적서_41.pdf</x:v>
      </x:c>
      <x:c r="C189" s="33" t="n">
        <x:v>6</x:v>
      </x:c>
      <x:c r="D189" s="33" t="str">
        <x:v>LR1000</x:v>
      </x:c>
      <x:c r="E189" s="33" t="str">
        <x:v>시스템</x:v>
      </x:c>
      <x:c r="F189" s="33" t="str">
        <x:v>EA</x:v>
      </x:c>
      <x:c r="G189" s="39" t="n">
        <x:v>2</x:v>
      </x:c>
      <x:c r="H189" s="39" t="n">
        <x:v>4500000</x:v>
      </x:c>
      <x:c r="I189" s="39" t="n">
        <x:v>9000000</x:v>
      </x:c>
      <x:c r="J189" s="39" t="n">
        <x:f>G189*H189</x:f>
        <x:v>9000000</x:v>
      </x:c>
      <x:c r="K189" s="33" t="str">
        <x:f>IF(I189=J189,"일치","불일치")</x:f>
        <x:v>일치</x:v>
      </x:c>
      <x:c r="L189" s="33" t="str">
        <x:v>운영 구성</x:v>
      </x:c>
      <x:c r="M189" s="34" t="str">
        <x:v>p.1 품목표</x:v>
      </x:c>
    </x:row>
    <x:row r="190" ht="24" customHeight="1">
      <x:c r="A190" s="32" t="str">
        <x:v>QUOTE-042</x:v>
      </x:c>
      <x:c r="B190" s="33" t="str">
        <x:v>견적서_42.pdf</x:v>
      </x:c>
      <x:c r="C190" s="33" t="n">
        <x:v>1</x:v>
      </x:c>
      <x:c r="D190" s="33" t="str">
        <x:v>LR-PRO</x:v>
      </x:c>
      <x:c r="E190" s="33" t="str">
        <x:v>시스템</x:v>
      </x:c>
      <x:c r="F190" s="33" t="str">
        <x:v>EA</x:v>
      </x:c>
      <x:c r="G190" s="39" t="n">
        <x:v>1</x:v>
      </x:c>
      <x:c r="H190" s="39" t="n">
        <x:v>6000000</x:v>
      </x:c>
      <x:c r="I190" s="39" t="n">
        <x:v>6000000</x:v>
      </x:c>
      <x:c r="J190" s="39" t="n">
        <x:f>G190*H190</x:f>
        <x:v>6000000</x:v>
      </x:c>
      <x:c r="K190" s="33" t="str">
        <x:f>IF(I190=J190,"일치","불일치")</x:f>
        <x:v>일치</x:v>
      </x:c>
      <x:c r="L190" s="33" t="str">
        <x:v>운영 구성</x:v>
      </x:c>
      <x:c r="M190" s="34" t="str">
        <x:v>p.1 품목표</x:v>
      </x:c>
    </x:row>
    <x:row r="191" ht="24" customHeight="1">
      <x:c r="A191" s="32" t="str">
        <x:v>QUOTE-042</x:v>
      </x:c>
      <x:c r="B191" s="33" t="str">
        <x:v>견적서_42.pdf</x:v>
      </x:c>
      <x:c r="C191" s="33" t="n">
        <x:v>2</x:v>
      </x:c>
      <x:c r="D191" s="33" t="str">
        <x:v>LR-CORE3</x:v>
      </x:c>
      <x:c r="E191" s="33" t="str">
        <x:v>액세서리</x:v>
      </x:c>
      <x:c r="F191" s="33" t="str">
        <x:v>EA</x:v>
      </x:c>
      <x:c r="G191" s="39" t="n">
        <x:v>5</x:v>
      </x:c>
      <x:c r="H191" s="39" t="n">
        <x:v>60000</x:v>
      </x:c>
      <x:c r="I191" s="39" t="n">
        <x:v>300000</x:v>
      </x:c>
      <x:c r="J191" s="39" t="n">
        <x:f>G191*H191</x:f>
        <x:v>300000</x:v>
      </x:c>
      <x:c r="K191" s="33" t="str">
        <x:f>IF(I191=J191,"일치","불일치")</x:f>
        <x:v>일치</x:v>
      </x:c>
      <x:c r="L191" s="33" t="str">
        <x:v>현장 구성</x:v>
      </x:c>
      <x:c r="M191" s="34" t="str">
        <x:v>p.1 품목표</x:v>
      </x:c>
    </x:row>
    <x:row r="192" ht="24" customHeight="1">
      <x:c r="A192" s="32" t="str">
        <x:v>QUOTE-042</x:v>
      </x:c>
      <x:c r="B192" s="33" t="str">
        <x:v>견적서_42.pdf</x:v>
      </x:c>
      <x:c r="C192" s="33" t="n">
        <x:v>3</x:v>
      </x:c>
      <x:c r="D192" s="33" t="str">
        <x:v>LP2000</x:v>
      </x:c>
      <x:c r="E192" s="33" t="str">
        <x:v>프로브</x:v>
      </x:c>
      <x:c r="F192" s="33" t="str">
        <x:v>EA</x:v>
      </x:c>
      <x:c r="G192" s="39" t="n">
        <x:v>19</x:v>
      </x:c>
      <x:c r="H192" s="39" t="n">
        <x:v>175000</x:v>
      </x:c>
      <x:c r="I192" s="39" t="n">
        <x:v>3325000</x:v>
      </x:c>
      <x:c r="J192" s="39" t="n">
        <x:f>G192*H192</x:f>
        <x:v>3325000</x:v>
      </x:c>
      <x:c r="K192" s="33" t="str">
        <x:f>IF(I192=J192,"일치","불일치")</x:f>
        <x:v>일치</x:v>
      </x:c>
      <x:c r="L192" s="33" t="str">
        <x:v>현장 사용</x:v>
      </x:c>
      <x:c r="M192" s="34" t="str">
        <x:v>p.1 품목표</x:v>
      </x:c>
    </x:row>
    <x:row r="193" ht="24" customHeight="1">
      <x:c r="A193" s="32" t="str">
        <x:v>QUOTE-042</x:v>
      </x:c>
      <x:c r="B193" s="33" t="str">
        <x:v>견적서_42.pdf</x:v>
      </x:c>
      <x:c r="C193" s="33" t="n">
        <x:v>4</x:v>
      </x:c>
      <x:c r="D193" s="33" t="str">
        <x:v>LR-CORE1</x:v>
      </x:c>
      <x:c r="E193" s="33" t="str">
        <x:v>액세서리</x:v>
      </x:c>
      <x:c r="F193" s="33" t="str">
        <x:v>EA</x:v>
      </x:c>
      <x:c r="G193" s="39" t="n">
        <x:v>1</x:v>
      </x:c>
      <x:c r="H193" s="39" t="n">
        <x:v>4200000</x:v>
      </x:c>
      <x:c r="I193" s="39" t="n">
        <x:v>4200000</x:v>
      </x:c>
      <x:c r="J193" s="39" t="n">
        <x:f>G193*H193</x:f>
        <x:v>4200000</x:v>
      </x:c>
      <x:c r="K193" s="33" t="str">
        <x:f>IF(I193=J193,"일치","불일치")</x:f>
        <x:v>일치</x:v>
      </x:c>
      <x:c r="L193" s="33" t="str">
        <x:v>확장 구성</x:v>
      </x:c>
      <x:c r="M193" s="34" t="str">
        <x:v>p.1 품목표</x:v>
      </x:c>
    </x:row>
    <x:row r="194" ht="24" customHeight="1">
      <x:c r="A194" s="32" t="str">
        <x:v>QUOTE-042</x:v>
      </x:c>
      <x:c r="B194" s="33" t="str">
        <x:v>견적서_42.pdf</x:v>
      </x:c>
      <x:c r="C194" s="33" t="n">
        <x:v>5</x:v>
      </x:c>
      <x:c r="D194" s="33" t="str">
        <x:v>LP100</x:v>
      </x:c>
      <x:c r="E194" s="33" t="str">
        <x:v>부품</x:v>
      </x:c>
      <x:c r="F194" s="33" t="str">
        <x:v>EA</x:v>
      </x:c>
      <x:c r="G194" s="39" t="n">
        <x:v>6</x:v>
      </x:c>
      <x:c r="H194" s="39" t="n">
        <x:v>180000</x:v>
      </x:c>
      <x:c r="I194" s="39" t="n">
        <x:v>1080000</x:v>
      </x:c>
      <x:c r="J194" s="39" t="n">
        <x:f>G194*H194</x:f>
        <x:v>1080000</x:v>
      </x:c>
      <x:c r="K194" s="33" t="str">
        <x:f>IF(I194=J194,"일치","불일치")</x:f>
        <x:v>일치</x:v>
      </x:c>
      <x:c r="L194" s="33" t="str">
        <x:v>예비 구성</x:v>
      </x:c>
      <x:c r="M194" s="34" t="str">
        <x:v>p.1 품목표</x:v>
      </x:c>
    </x:row>
    <x:row r="195" ht="24" customHeight="1">
      <x:c r="A195" s="32" t="str">
        <x:v>QUOTE-043</x:v>
      </x:c>
      <x:c r="B195" s="33" t="str">
        <x:v>견적서_43.pdf</x:v>
      </x:c>
      <x:c r="C195" s="33" t="n">
        <x:v>1</x:v>
      </x:c>
      <x:c r="D195" s="33" t="str">
        <x:v>LR-CORE3</x:v>
      </x:c>
      <x:c r="E195" s="33" t="str">
        <x:v>액세서리</x:v>
      </x:c>
      <x:c r="F195" s="33" t="str">
        <x:v>EA</x:v>
      </x:c>
      <x:c r="G195" s="39" t="n">
        <x:v>3</x:v>
      </x:c>
      <x:c r="H195" s="39" t="n">
        <x:v>60000</x:v>
      </x:c>
      <x:c r="I195" s="39" t="n">
        <x:v>180000</x:v>
      </x:c>
      <x:c r="J195" s="39" t="n">
        <x:f>G195*H195</x:f>
        <x:v>180000</x:v>
      </x:c>
      <x:c r="K195" s="33" t="str">
        <x:f>IF(I195=J195,"일치","불일치")</x:f>
        <x:v>일치</x:v>
      </x:c>
      <x:c r="L195" s="33" t="str">
        <x:v>운영 보조</x:v>
      </x:c>
      <x:c r="M195" s="34" t="str">
        <x:v>p.1 품목표</x:v>
      </x:c>
    </x:row>
    <x:row r="196" ht="24" customHeight="1">
      <x:c r="A196" s="32" t="str">
        <x:v>QUOTE-043</x:v>
      </x:c>
      <x:c r="B196" s="33" t="str">
        <x:v>견적서_43.pdf</x:v>
      </x:c>
      <x:c r="C196" s="33" t="n">
        <x:v>2</x:v>
      </x:c>
      <x:c r="D196" s="33" t="str">
        <x:v>LR2000</x:v>
      </x:c>
      <x:c r="E196" s="33" t="str">
        <x:v>시스템</x:v>
      </x:c>
      <x:c r="F196" s="33" t="str">
        <x:v>EA</x:v>
      </x:c>
      <x:c r="G196" s="39" t="n">
        <x:v>3</x:v>
      </x:c>
      <x:c r="H196" s="39" t="n">
        <x:v>5200000</x:v>
      </x:c>
      <x:c r="I196" s="39" t="n">
        <x:v>15600000</x:v>
      </x:c>
      <x:c r="J196" s="39" t="n">
        <x:f>G196*H196</x:f>
        <x:v>15600000</x:v>
      </x:c>
      <x:c r="K196" s="33" t="str">
        <x:f>IF(I196=J196,"일치","불일치")</x:f>
        <x:v>일치</x:v>
      </x:c>
      <x:c r="L196" s="33" t="str">
        <x:v>기본 구성</x:v>
      </x:c>
      <x:c r="M196" s="34" t="str">
        <x:v>p.1 품목표</x:v>
      </x:c>
    </x:row>
    <x:row r="197" ht="24" customHeight="1">
      <x:c r="A197" s="32" t="str">
        <x:v>QUOTE-043</x:v>
      </x:c>
      <x:c r="B197" s="33" t="str">
        <x:v>견적서_43.pdf</x:v>
      </x:c>
      <x:c r="C197" s="33" t="n">
        <x:v>3</x:v>
      </x:c>
      <x:c r="D197" s="33" t="str">
        <x:v>LP1500</x:v>
      </x:c>
      <x:c r="E197" s="33" t="str">
        <x:v>프로브</x:v>
      </x:c>
      <x:c r="F197" s="33" t="str">
        <x:v>EA</x:v>
      </x:c>
      <x:c r="G197" s="39" t="n">
        <x:v>18</x:v>
      </x:c>
      <x:c r="H197" s="39" t="n">
        <x:v>145000</x:v>
      </x:c>
      <x:c r="I197" s="39" t="n">
        <x:v>2610000</x:v>
      </x:c>
      <x:c r="J197" s="39" t="n">
        <x:f>G197*H197</x:f>
        <x:v>2610000</x:v>
      </x:c>
      <x:c r="K197" s="33" t="str">
        <x:f>IF(I197=J197,"일치","불일치")</x:f>
        <x:v>일치</x:v>
      </x:c>
      <x:c r="L197" s="33" t="str">
        <x:v>추가 구성</x:v>
      </x:c>
      <x:c r="M197" s="34" t="str">
        <x:v>p.1 품목표</x:v>
      </x:c>
    </x:row>
    <x:row r="198" ht="24" customHeight="1">
      <x:c r="A198" s="32" t="str">
        <x:v>QUOTE-043</x:v>
      </x:c>
      <x:c r="B198" s="33" t="str">
        <x:v>견적서_43.pdf</x:v>
      </x:c>
      <x:c r="C198" s="33" t="n">
        <x:v>4</x:v>
      </x:c>
      <x:c r="D198" s="33" t="str">
        <x:v>LP2000</x:v>
      </x:c>
      <x:c r="E198" s="33" t="str">
        <x:v>프로브</x:v>
      </x:c>
      <x:c r="F198" s="33" t="str">
        <x:v>EA</x:v>
      </x:c>
      <x:c r="G198" s="39" t="n">
        <x:v>6</x:v>
      </x:c>
      <x:c r="H198" s="39" t="n">
        <x:v>175000</x:v>
      </x:c>
      <x:c r="I198" s="39" t="n">
        <x:v>1050000</x:v>
      </x:c>
      <x:c r="J198" s="39" t="n">
        <x:f>G198*H198</x:f>
        <x:v>1050000</x:v>
      </x:c>
      <x:c r="K198" s="33" t="str">
        <x:f>IF(I198=J198,"일치","불일치")</x:f>
        <x:v>일치</x:v>
      </x:c>
      <x:c r="L198" s="33" t="str">
        <x:v>현장 사용</x:v>
      </x:c>
      <x:c r="M198" s="34" t="str">
        <x:v>p.1 품목표</x:v>
      </x:c>
    </x:row>
    <x:row r="199" ht="24" customHeight="1">
      <x:c r="A199" s="32" t="str">
        <x:v>QUOTE-043</x:v>
      </x:c>
      <x:c r="B199" s="33" t="str">
        <x:v>견적서_43.pdf</x:v>
      </x:c>
      <x:c r="C199" s="33" t="n">
        <x:v>5</x:v>
      </x:c>
      <x:c r="D199" s="33" t="str">
        <x:v>LP1000</x:v>
      </x:c>
      <x:c r="E199" s="33" t="str">
        <x:v>프로브</x:v>
      </x:c>
      <x:c r="F199" s="33" t="str">
        <x:v>EA</x:v>
      </x:c>
      <x:c r="G199" s="39" t="n">
        <x:v>9</x:v>
      </x:c>
      <x:c r="H199" s="39" t="n">
        <x:v>130000</x:v>
      </x:c>
      <x:c r="I199" s="39" t="n">
        <x:v>1170000</x:v>
      </x:c>
      <x:c r="J199" s="39" t="n">
        <x:f>G199*H199</x:f>
        <x:v>1170000</x:v>
      </x:c>
      <x:c r="K199" s="33" t="str">
        <x:f>IF(I199=J199,"일치","불일치")</x:f>
        <x:v>일치</x:v>
      </x:c>
      <x:c r="L199" s="33" t="str">
        <x:v>기본 소모품</x:v>
      </x:c>
      <x:c r="M199" s="34" t="str">
        <x:v>p.1 품목표</x:v>
      </x:c>
    </x:row>
    <x:row r="200" ht="24" customHeight="1">
      <x:c r="A200" s="32" t="str">
        <x:v>QUOTE-043</x:v>
      </x:c>
      <x:c r="B200" s="33" t="str">
        <x:v>견적서_43.pdf</x:v>
      </x:c>
      <x:c r="C200" s="33" t="n">
        <x:v>6</x:v>
      </x:c>
      <x:c r="D200" s="33" t="str">
        <x:v>LR-CORE2</x:v>
      </x:c>
      <x:c r="E200" s="33" t="str">
        <x:v>액세서리</x:v>
      </x:c>
      <x:c r="F200" s="33" t="str">
        <x:v>EA</x:v>
      </x:c>
      <x:c r="G200" s="39" t="n">
        <x:v>4</x:v>
      </x:c>
      <x:c r="H200" s="39" t="n">
        <x:v>4800000</x:v>
      </x:c>
      <x:c r="I200" s="39" t="n">
        <x:v>19200000</x:v>
      </x:c>
      <x:c r="J200" s="39" t="n">
        <x:f>G200*H200</x:f>
        <x:v>19200000</x:v>
      </x:c>
      <x:c r="K200" s="33" t="str">
        <x:f>IF(I200=J200,"일치","불일치")</x:f>
        <x:v>일치</x:v>
      </x:c>
      <x:c r="L200" s="33" t="str">
        <x:v>운영 보조</x:v>
      </x:c>
      <x:c r="M200" s="34" t="str">
        <x:v>p.1 품목표</x:v>
      </x:c>
    </x:row>
    <x:row r="201" ht="24" customHeight="1">
      <x:c r="A201" s="32" t="str">
        <x:v>QUOTE-044</x:v>
      </x:c>
      <x:c r="B201" s="33" t="str">
        <x:v>견적서_44.pdf</x:v>
      </x:c>
      <x:c r="C201" s="33" t="n">
        <x:v>1</x:v>
      </x:c>
      <x:c r="D201" s="33" t="str">
        <x:v>LP200</x:v>
      </x:c>
      <x:c r="E201" s="33" t="str">
        <x:v>부품</x:v>
      </x:c>
      <x:c r="F201" s="33" t="str">
        <x:v>EA</x:v>
      </x:c>
      <x:c r="G201" s="39" t="n">
        <x:v>6</x:v>
      </x:c>
      <x:c r="H201" s="39" t="n">
        <x:v>240000</x:v>
      </x:c>
      <x:c r="I201" s="39" t="n">
        <x:v>1440000</x:v>
      </x:c>
      <x:c r="J201" s="39" t="n">
        <x:f>G201*H201</x:f>
        <x:v>1440000</x:v>
      </x:c>
      <x:c r="K201" s="33" t="str">
        <x:f>IF(I201=J201,"일치","불일치")</x:f>
        <x:v>일치</x:v>
      </x:c>
      <x:c r="L201" s="33" t="str">
        <x:v>예비 구성</x:v>
      </x:c>
      <x:c r="M201" s="34" t="str">
        <x:v>p.1 품목표</x:v>
      </x:c>
    </x:row>
    <x:row r="202" ht="24" customHeight="1">
      <x:c r="A202" s="32" t="str">
        <x:v>QUOTE-044</x:v>
      </x:c>
      <x:c r="B202" s="33" t="str">
        <x:v>견적서_44.pdf</x:v>
      </x:c>
      <x:c r="C202" s="33" t="n">
        <x:v>2</x:v>
      </x:c>
      <x:c r="D202" s="33" t="str">
        <x:v>LP2000</x:v>
      </x:c>
      <x:c r="E202" s="33" t="str">
        <x:v>프로브</x:v>
      </x:c>
      <x:c r="F202" s="33" t="str">
        <x:v>EA</x:v>
      </x:c>
      <x:c r="G202" s="39" t="n">
        <x:v>12</x:v>
      </x:c>
      <x:c r="H202" s="39" t="n">
        <x:v>175000</x:v>
      </x:c>
      <x:c r="I202" s="39" t="n">
        <x:v>2100000</x:v>
      </x:c>
      <x:c r="J202" s="39" t="n">
        <x:f>G202*H202</x:f>
        <x:v>2100000</x:v>
      </x:c>
      <x:c r="K202" s="33" t="str">
        <x:f>IF(I202=J202,"일치","불일치")</x:f>
        <x:v>일치</x:v>
      </x:c>
      <x:c r="L202" s="33" t="str">
        <x:v>현장 사용</x:v>
      </x:c>
      <x:c r="M202" s="34" t="str">
        <x:v>p.1 품목표</x:v>
      </x:c>
    </x:row>
    <x:row r="203" ht="24" customHeight="1">
      <x:c r="A203" s="32" t="str">
        <x:v>QUOTE-044</x:v>
      </x:c>
      <x:c r="B203" s="33" t="str">
        <x:v>견적서_44.pdf</x:v>
      </x:c>
      <x:c r="C203" s="33" t="n">
        <x:v>3</x:v>
      </x:c>
      <x:c r="D203" s="33" t="str">
        <x:v>LP1500</x:v>
      </x:c>
      <x:c r="E203" s="33" t="str">
        <x:v>프로브</x:v>
      </x:c>
      <x:c r="F203" s="33" t="str">
        <x:v>EA</x:v>
      </x:c>
      <x:c r="G203" s="39" t="n">
        <x:v>16</x:v>
      </x:c>
      <x:c r="H203" s="39" t="n">
        <x:v>145000</x:v>
      </x:c>
      <x:c r="I203" s="39" t="n">
        <x:v>2320000</x:v>
      </x:c>
      <x:c r="J203" s="39" t="n">
        <x:f>G203*H203</x:f>
        <x:v>2320000</x:v>
      </x:c>
      <x:c r="K203" s="33" t="str">
        <x:f>IF(I203=J203,"일치","불일치")</x:f>
        <x:v>일치</x:v>
      </x:c>
      <x:c r="L203" s="33" t="str">
        <x:v>기본 소모품</x:v>
      </x:c>
      <x:c r="M203" s="34" t="str">
        <x:v>p.1 품목표</x:v>
      </x:c>
    </x:row>
    <x:row r="204" ht="24" customHeight="1">
      <x:c r="A204" s="32" t="str">
        <x:v>QUOTE-044</x:v>
      </x:c>
      <x:c r="B204" s="33" t="str">
        <x:v>견적서_44.pdf</x:v>
      </x:c>
      <x:c r="C204" s="33" t="n">
        <x:v>4</x:v>
      </x:c>
      <x:c r="D204" s="33" t="str">
        <x:v>LP100</x:v>
      </x:c>
      <x:c r="E204" s="33" t="str">
        <x:v>부품</x:v>
      </x:c>
      <x:c r="F204" s="33" t="str">
        <x:v>EA</x:v>
      </x:c>
      <x:c r="G204" s="39" t="n">
        <x:v>2</x:v>
      </x:c>
      <x:c r="H204" s="39" t="n">
        <x:v>180000</x:v>
      </x:c>
      <x:c r="I204" s="39" t="n">
        <x:v>360000</x:v>
      </x:c>
      <x:c r="J204" s="39" t="n">
        <x:f>G204*H204</x:f>
        <x:v>360000</x:v>
      </x:c>
      <x:c r="K204" s="33" t="str">
        <x:f>IF(I204=J204,"일치","불일치")</x:f>
        <x:v>일치</x:v>
      </x:c>
      <x:c r="L204" s="33" t="str">
        <x:v>유지보수</x:v>
      </x:c>
      <x:c r="M204" s="34" t="str">
        <x:v>p.1 품목표</x:v>
      </x:c>
    </x:row>
    <x:row r="205" ht="24" customHeight="1">
      <x:c r="A205" s="32" t="str">
        <x:v>QUOTE-044</x:v>
      </x:c>
      <x:c r="B205" s="33" t="str">
        <x:v>견적서_44.pdf</x:v>
      </x:c>
      <x:c r="C205" s="33" t="n">
        <x:v>5</x:v>
      </x:c>
      <x:c r="D205" s="33" t="str">
        <x:v>LR-PRO</x:v>
      </x:c>
      <x:c r="E205" s="33" t="str">
        <x:v>시스템</x:v>
      </x:c>
      <x:c r="F205" s="33" t="str">
        <x:v>EA</x:v>
      </x:c>
      <x:c r="G205" s="39" t="n">
        <x:v>1</x:v>
      </x:c>
      <x:c r="H205" s="39" t="n">
        <x:v>6000000</x:v>
      </x:c>
      <x:c r="I205" s="39" t="n">
        <x:v>6000000</x:v>
      </x:c>
      <x:c r="J205" s="39" t="n">
        <x:f>G205*H205</x:f>
        <x:v>6000000</x:v>
      </x:c>
      <x:c r="K205" s="33" t="str">
        <x:f>IF(I205=J205,"일치","불일치")</x:f>
        <x:v>일치</x:v>
      </x:c>
      <x:c r="L205" s="33" t="str">
        <x:v>설치 대상</x:v>
      </x:c>
      <x:c r="M205" s="34" t="str">
        <x:v>p.1 품목표</x:v>
      </x:c>
    </x:row>
    <x:row r="206" ht="24" customHeight="1">
      <x:c r="A206" s="32" t="str">
        <x:v>QUOTE-045</x:v>
      </x:c>
      <x:c r="B206" s="33" t="str">
        <x:v>견적서_45.pdf</x:v>
      </x:c>
      <x:c r="C206" s="33" t="n">
        <x:v>1</x:v>
      </x:c>
      <x:c r="D206" s="33" t="str">
        <x:v>LR-PRO</x:v>
      </x:c>
      <x:c r="E206" s="33" t="str">
        <x:v>시스템</x:v>
      </x:c>
      <x:c r="F206" s="33" t="str">
        <x:v>EA</x:v>
      </x:c>
      <x:c r="G206" s="39" t="n">
        <x:v>3</x:v>
      </x:c>
      <x:c r="H206" s="39" t="n">
        <x:v>6000000</x:v>
      </x:c>
      <x:c r="I206" s="39" t="n">
        <x:v>18000000</x:v>
      </x:c>
      <x:c r="J206" s="39" t="n">
        <x:f>G206*H206</x:f>
        <x:v>18000000</x:v>
      </x:c>
      <x:c r="K206" s="33" t="str">
        <x:f>IF(I206=J206,"일치","불일치")</x:f>
        <x:v>일치</x:v>
      </x:c>
      <x:c r="L206" s="33" t="str">
        <x:v>운영 구성</x:v>
      </x:c>
      <x:c r="M206" s="34" t="str">
        <x:v>p.1 품목표</x:v>
      </x:c>
    </x:row>
    <x:row r="207" ht="24" customHeight="1">
      <x:c r="A207" s="32" t="str">
        <x:v>QUOTE-045</x:v>
      </x:c>
      <x:c r="B207" s="33" t="str">
        <x:v>견적서_45.pdf</x:v>
      </x:c>
      <x:c r="C207" s="33" t="n">
        <x:v>2</x:v>
      </x:c>
      <x:c r="D207" s="33" t="str">
        <x:v>LR-CORE3</x:v>
      </x:c>
      <x:c r="E207" s="33" t="str">
        <x:v>액세서리</x:v>
      </x:c>
      <x:c r="F207" s="33" t="str">
        <x:v>EA</x:v>
      </x:c>
      <x:c r="G207" s="39" t="n">
        <x:v>1</x:v>
      </x:c>
      <x:c r="H207" s="39" t="n">
        <x:v>60000</x:v>
      </x:c>
      <x:c r="I207" s="39" t="n">
        <x:v>60000</x:v>
      </x:c>
      <x:c r="J207" s="39" t="n">
        <x:f>G207*H207</x:f>
        <x:v>60000</x:v>
      </x:c>
      <x:c r="K207" s="33" t="str">
        <x:f>IF(I207=J207,"일치","불일치")</x:f>
        <x:v>일치</x:v>
      </x:c>
      <x:c r="L207" s="33" t="str">
        <x:v>현장 구성</x:v>
      </x:c>
      <x:c r="M207" s="34" t="str">
        <x:v>p.1 품목표</x:v>
      </x:c>
    </x:row>
    <x:row r="208" ht="24" customHeight="1">
      <x:c r="A208" s="32" t="str">
        <x:v>QUOTE-045</x:v>
      </x:c>
      <x:c r="B208" s="33" t="str">
        <x:v>견적서_45.pdf</x:v>
      </x:c>
      <x:c r="C208" s="33" t="n">
        <x:v>3</x:v>
      </x:c>
      <x:c r="D208" s="33" t="str">
        <x:v>LP200</x:v>
      </x:c>
      <x:c r="E208" s="33" t="str">
        <x:v>부품</x:v>
      </x:c>
      <x:c r="F208" s="33" t="str">
        <x:v>EA</x:v>
      </x:c>
      <x:c r="G208" s="39" t="n">
        <x:v>9</x:v>
      </x:c>
      <x:c r="H208" s="39" t="n">
        <x:v>240000</x:v>
      </x:c>
      <x:c r="I208" s="39" t="n">
        <x:v>2160000</x:v>
      </x:c>
      <x:c r="J208" s="39" t="n">
        <x:f>G208*H208</x:f>
        <x:v>2160000</x:v>
      </x:c>
      <x:c r="K208" s="33" t="str">
        <x:f>IF(I208=J208,"일치","불일치")</x:f>
        <x:v>일치</x:v>
      </x:c>
      <x:c r="L208" s="33" t="str">
        <x:v>예비 구성</x:v>
      </x:c>
      <x:c r="M208" s="34" t="str">
        <x:v>p.1 품목표</x:v>
      </x:c>
    </x:row>
    <x:row r="209" ht="24" customHeight="1">
      <x:c r="A209" s="32" t="str">
        <x:v>QUOTE-045</x:v>
      </x:c>
      <x:c r="B209" s="33" t="str">
        <x:v>견적서_45.pdf</x:v>
      </x:c>
      <x:c r="C209" s="33" t="n">
        <x:v>4</x:v>
      </x:c>
      <x:c r="D209" s="33" t="str">
        <x:v>LR-CORE1</x:v>
      </x:c>
      <x:c r="E209" s="33" t="str">
        <x:v>액세서리</x:v>
      </x:c>
      <x:c r="F209" s="33" t="str">
        <x:v>EA</x:v>
      </x:c>
      <x:c r="G209" s="39" t="n">
        <x:v>5</x:v>
      </x:c>
      <x:c r="H209" s="39" t="n">
        <x:v>4200000</x:v>
      </x:c>
      <x:c r="I209" s="39" t="n">
        <x:v>21000000</x:v>
      </x:c>
      <x:c r="J209" s="39" t="n">
        <x:f>G209*H209</x:f>
        <x:v>21000000</x:v>
      </x:c>
      <x:c r="K209" s="33" t="str">
        <x:f>IF(I209=J209,"일치","불일치")</x:f>
        <x:v>일치</x:v>
      </x:c>
      <x:c r="L209" s="33" t="str">
        <x:v>현장 구성</x:v>
      </x:c>
      <x:c r="M209" s="34" t="str">
        <x:v>p.1 품목표</x:v>
      </x:c>
    </x:row>
    <x:row r="210" ht="24" customHeight="1">
      <x:c r="A210" s="32" t="str">
        <x:v>QUOTE-046</x:v>
      </x:c>
      <x:c r="B210" s="33" t="str">
        <x:v>견적서_46.pdf</x:v>
      </x:c>
      <x:c r="C210" s="33" t="n">
        <x:v>1</x:v>
      </x:c>
      <x:c r="D210" s="33" t="str">
        <x:v>LP1500</x:v>
      </x:c>
      <x:c r="E210" s="33" t="str">
        <x:v>프로브</x:v>
      </x:c>
      <x:c r="F210" s="33" t="str">
        <x:v>EA</x:v>
      </x:c>
      <x:c r="G210" s="39" t="n">
        <x:v>18</x:v>
      </x:c>
      <x:c r="H210" s="39" t="n">
        <x:v>145000</x:v>
      </x:c>
      <x:c r="I210" s="39" t="n">
        <x:v>2610000</x:v>
      </x:c>
      <x:c r="J210" s="39" t="n">
        <x:f>G210*H210</x:f>
        <x:v>2610000</x:v>
      </x:c>
      <x:c r="K210" s="33" t="str">
        <x:f>IF(I210=J210,"일치","불일치")</x:f>
        <x:v>일치</x:v>
      </x:c>
      <x:c r="L210" s="33" t="str">
        <x:v>현장 사용</x:v>
      </x:c>
      <x:c r="M210" s="34" t="str">
        <x:v>p.1 품목표</x:v>
      </x:c>
    </x:row>
    <x:row r="211" ht="24" customHeight="1">
      <x:c r="A211" s="32" t="str">
        <x:v>QUOTE-046</x:v>
      </x:c>
      <x:c r="B211" s="33" t="str">
        <x:v>견적서_46.pdf</x:v>
      </x:c>
      <x:c r="C211" s="33" t="n">
        <x:v>2</x:v>
      </x:c>
      <x:c r="D211" s="33" t="str">
        <x:v>LR-PRO</x:v>
      </x:c>
      <x:c r="E211" s="33" t="str">
        <x:v>시스템</x:v>
      </x:c>
      <x:c r="F211" s="33" t="str">
        <x:v>EA</x:v>
      </x:c>
      <x:c r="G211" s="39" t="n">
        <x:v>1</x:v>
      </x:c>
      <x:c r="H211" s="39" t="n">
        <x:v>6000000</x:v>
      </x:c>
      <x:c r="I211" s="39" t="n">
        <x:v>6000000</x:v>
      </x:c>
      <x:c r="J211" s="39" t="n">
        <x:f>G211*H211</x:f>
        <x:v>6000000</x:v>
      </x:c>
      <x:c r="K211" s="33" t="str">
        <x:f>IF(I211=J211,"일치","불일치")</x:f>
        <x:v>일치</x:v>
      </x:c>
      <x:c r="L211" s="33" t="str">
        <x:v>설치 대상</x:v>
      </x:c>
      <x:c r="M211" s="34" t="str">
        <x:v>p.1 품목표</x:v>
      </x:c>
    </x:row>
    <x:row r="212" ht="24" customHeight="1">
      <x:c r="A212" s="32" t="str">
        <x:v>QUOTE-046</x:v>
      </x:c>
      <x:c r="B212" s="33" t="str">
        <x:v>견적서_46.pdf</x:v>
      </x:c>
      <x:c r="C212" s="33" t="n">
        <x:v>3</x:v>
      </x:c>
      <x:c r="D212" s="33" t="str">
        <x:v>LP200</x:v>
      </x:c>
      <x:c r="E212" s="33" t="str">
        <x:v>부품</x:v>
      </x:c>
      <x:c r="F212" s="33" t="str">
        <x:v>EA</x:v>
      </x:c>
      <x:c r="G212" s="39" t="n">
        <x:v>10</x:v>
      </x:c>
      <x:c r="H212" s="39" t="n">
        <x:v>240000</x:v>
      </x:c>
      <x:c r="I212" s="39" t="n">
        <x:v>2400000</x:v>
      </x:c>
      <x:c r="J212" s="39" t="n">
        <x:f>G212*H212</x:f>
        <x:v>2400000</x:v>
      </x:c>
      <x:c r="K212" s="33" t="str">
        <x:f>IF(I212=J212,"일치","불일치")</x:f>
        <x:v>일치</x:v>
      </x:c>
      <x:c r="L212" s="33" t="str">
        <x:v>교체용</x:v>
      </x:c>
      <x:c r="M212" s="34" t="str">
        <x:v>p.1 품목표</x:v>
      </x:c>
    </x:row>
    <x:row r="213" ht="24" customHeight="1">
      <x:c r="A213" s="32" t="str">
        <x:v>QUOTE-047</x:v>
      </x:c>
      <x:c r="B213" s="33" t="str">
        <x:v>견적서_47.pdf</x:v>
      </x:c>
      <x:c r="C213" s="33" t="n">
        <x:v>1</x:v>
      </x:c>
      <x:c r="D213" s="33" t="str">
        <x:v>LR-CORE2</x:v>
      </x:c>
      <x:c r="E213" s="33" t="str">
        <x:v>액세서리</x:v>
      </x:c>
      <x:c r="F213" s="33" t="str">
        <x:v>EA</x:v>
      </x:c>
      <x:c r="G213" s="39" t="n">
        <x:v>2</x:v>
      </x:c>
      <x:c r="H213" s="39" t="n">
        <x:v>4800000</x:v>
      </x:c>
      <x:c r="I213" s="39" t="n">
        <x:v>9600000</x:v>
      </x:c>
      <x:c r="J213" s="39" t="n">
        <x:f>G213*H213</x:f>
        <x:v>9600000</x:v>
      </x:c>
      <x:c r="K213" s="33" t="str">
        <x:f>IF(I213=J213,"일치","불일치")</x:f>
        <x:v>일치</x:v>
      </x:c>
      <x:c r="L213" s="33" t="str">
        <x:v>운영 보조</x:v>
      </x:c>
      <x:c r="M213" s="34" t="str">
        <x:v>p.1 품목표</x:v>
      </x:c>
    </x:row>
    <x:row r="214" ht="24" customHeight="1">
      <x:c r="A214" s="32" t="str">
        <x:v>QUOTE-047</x:v>
      </x:c>
      <x:c r="B214" s="33" t="str">
        <x:v>견적서_47.pdf</x:v>
      </x:c>
      <x:c r="C214" s="33" t="n">
        <x:v>2</x:v>
      </x:c>
      <x:c r="D214" s="33" t="str">
        <x:v>LP1000</x:v>
      </x:c>
      <x:c r="E214" s="33" t="str">
        <x:v>프로브</x:v>
      </x:c>
      <x:c r="F214" s="33" t="str">
        <x:v>EA</x:v>
      </x:c>
      <x:c r="G214" s="39" t="n">
        <x:v>13</x:v>
      </x:c>
      <x:c r="H214" s="39" t="n">
        <x:v>130000</x:v>
      </x:c>
      <x:c r="I214" s="39" t="n">
        <x:v>1690000</x:v>
      </x:c>
      <x:c r="J214" s="39" t="n">
        <x:f>G214*H214</x:f>
        <x:v>1690000</x:v>
      </x:c>
      <x:c r="K214" s="33" t="str">
        <x:f>IF(I214=J214,"일치","불일치")</x:f>
        <x:v>일치</x:v>
      </x:c>
      <x:c r="L214" s="33" t="str">
        <x:v>현장 사용</x:v>
      </x:c>
      <x:c r="M214" s="34" t="str">
        <x:v>p.1 품목표</x:v>
      </x:c>
    </x:row>
    <x:row r="215" ht="24" customHeight="1">
      <x:c r="A215" s="32" t="str">
        <x:v>QUOTE-047</x:v>
      </x:c>
      <x:c r="B215" s="33" t="str">
        <x:v>견적서_47.pdf</x:v>
      </x:c>
      <x:c r="C215" s="33" t="n">
        <x:v>3</x:v>
      </x:c>
      <x:c r="D215" s="33" t="str">
        <x:v>LP200</x:v>
      </x:c>
      <x:c r="E215" s="33" t="str">
        <x:v>부품</x:v>
      </x:c>
      <x:c r="F215" s="33" t="str">
        <x:v>EA</x:v>
      </x:c>
      <x:c r="G215" s="39" t="n">
        <x:v>7</x:v>
      </x:c>
      <x:c r="H215" s="39" t="n">
        <x:v>240000</x:v>
      </x:c>
      <x:c r="I215" s="39" t="n">
        <x:v>1680000</x:v>
      </x:c>
      <x:c r="J215" s="39" t="n">
        <x:f>G215*H215</x:f>
        <x:v>1680000</x:v>
      </x:c>
      <x:c r="K215" s="33" t="str">
        <x:f>IF(I215=J215,"일치","불일치")</x:f>
        <x:v>일치</x:v>
      </x:c>
      <x:c r="L215" s="33" t="str">
        <x:v>교체용</x:v>
      </x:c>
      <x:c r="M215" s="34" t="str">
        <x:v>p.1 품목표</x:v>
      </x:c>
    </x:row>
    <x:row r="216" ht="24" customHeight="1">
      <x:c r="A216" s="32" t="str">
        <x:v>QUOTE-047</x:v>
      </x:c>
      <x:c r="B216" s="33" t="str">
        <x:v>견적서_47.pdf</x:v>
      </x:c>
      <x:c r="C216" s="33" t="n">
        <x:v>4</x:v>
      </x:c>
      <x:c r="D216" s="33" t="str">
        <x:v>LP100</x:v>
      </x:c>
      <x:c r="E216" s="33" t="str">
        <x:v>부품</x:v>
      </x:c>
      <x:c r="F216" s="33" t="str">
        <x:v>EA</x:v>
      </x:c>
      <x:c r="G216" s="39" t="n">
        <x:v>7</x:v>
      </x:c>
      <x:c r="H216" s="39" t="n">
        <x:v>180000</x:v>
      </x:c>
      <x:c r="I216" s="39" t="n">
        <x:v>1260000</x:v>
      </x:c>
      <x:c r="J216" s="39" t="n">
        <x:f>G216*H216</x:f>
        <x:v>1260000</x:v>
      </x:c>
      <x:c r="K216" s="33" t="str">
        <x:f>IF(I216=J216,"일치","불일치")</x:f>
        <x:v>일치</x:v>
      </x:c>
      <x:c r="L216" s="33" t="str">
        <x:v>예비 구성</x:v>
      </x:c>
      <x:c r="M216" s="34" t="str">
        <x:v>p.1 품목표</x:v>
      </x:c>
    </x:row>
    <x:row r="217" ht="24" customHeight="1">
      <x:c r="A217" s="32" t="str">
        <x:v>QUOTE-047</x:v>
      </x:c>
      <x:c r="B217" s="33" t="str">
        <x:v>견적서_47.pdf</x:v>
      </x:c>
      <x:c r="C217" s="33" t="n">
        <x:v>5</x:v>
      </x:c>
      <x:c r="D217" s="33" t="str">
        <x:v>LR-CORE3</x:v>
      </x:c>
      <x:c r="E217" s="33" t="str">
        <x:v>액세서리</x:v>
      </x:c>
      <x:c r="F217" s="33" t="str">
        <x:v>EA</x:v>
      </x:c>
      <x:c r="G217" s="39" t="n">
        <x:v>2</x:v>
      </x:c>
      <x:c r="H217" s="39" t="n">
        <x:v>60000</x:v>
      </x:c>
      <x:c r="I217" s="39" t="n">
        <x:v>120000</x:v>
      </x:c>
      <x:c r="J217" s="39" t="n">
        <x:f>G217*H217</x:f>
        <x:v>120000</x:v>
      </x:c>
      <x:c r="K217" s="33" t="str">
        <x:f>IF(I217=J217,"일치","불일치")</x:f>
        <x:v>일치</x:v>
      </x:c>
      <x:c r="L217" s="33" t="str">
        <x:v>현장 구성</x:v>
      </x:c>
      <x:c r="M217" s="34" t="str">
        <x:v>p.1 품목표</x:v>
      </x:c>
    </x:row>
    <x:row r="218" ht="24" customHeight="1">
      <x:c r="A218" s="32" t="str">
        <x:v>QUOTE-047</x:v>
      </x:c>
      <x:c r="B218" s="33" t="str">
        <x:v>견적서_47.pdf</x:v>
      </x:c>
      <x:c r="C218" s="33" t="n">
        <x:v>6</x:v>
      </x:c>
      <x:c r="D218" s="33" t="str">
        <x:v>LR1000</x:v>
      </x:c>
      <x:c r="E218" s="33" t="str">
        <x:v>시스템</x:v>
      </x:c>
      <x:c r="F218" s="33" t="str">
        <x:v>EA</x:v>
      </x:c>
      <x:c r="G218" s="39" t="n">
        <x:v>3</x:v>
      </x:c>
      <x:c r="H218" s="39" t="n">
        <x:v>4500000</x:v>
      </x:c>
      <x:c r="I218" s="39" t="n">
        <x:v>13500000</x:v>
      </x:c>
      <x:c r="J218" s="39" t="n">
        <x:f>G218*H218</x:f>
        <x:v>13500000</x:v>
      </x:c>
      <x:c r="K218" s="33" t="str">
        <x:f>IF(I218=J218,"일치","불일치")</x:f>
        <x:v>일치</x:v>
      </x:c>
      <x:c r="L218" s="33" t="str">
        <x:v>설치 대상</x:v>
      </x:c>
      <x:c r="M218" s="34" t="str">
        <x:v>p.1 품목표</x:v>
      </x:c>
    </x:row>
    <x:row r="219" ht="24" customHeight="1">
      <x:c r="A219" s="32" t="str">
        <x:v>QUOTE-048</x:v>
      </x:c>
      <x:c r="B219" s="33" t="str">
        <x:v>견적서_48.pdf</x:v>
      </x:c>
      <x:c r="C219" s="33" t="n">
        <x:v>1</x:v>
      </x:c>
      <x:c r="D219" s="33" t="str">
        <x:v>LP1000</x:v>
      </x:c>
      <x:c r="E219" s="33" t="str">
        <x:v>프로브</x:v>
      </x:c>
      <x:c r="F219" s="33" t="str">
        <x:v>EA</x:v>
      </x:c>
      <x:c r="G219" s="39" t="n">
        <x:v>18</x:v>
      </x:c>
      <x:c r="H219" s="39" t="n">
        <x:v>130000</x:v>
      </x:c>
      <x:c r="I219" s="39" t="n">
        <x:v>2340000</x:v>
      </x:c>
      <x:c r="J219" s="39" t="n">
        <x:f>G219*H219</x:f>
        <x:v>2340000</x:v>
      </x:c>
      <x:c r="K219" s="33" t="str">
        <x:f>IF(I219=J219,"일치","불일치")</x:f>
        <x:v>일치</x:v>
      </x:c>
      <x:c r="L219" s="33" t="str">
        <x:v>추가 구성</x:v>
      </x:c>
      <x:c r="M219" s="34" t="str">
        <x:v>p.1 품목표</x:v>
      </x:c>
    </x:row>
    <x:row r="220" ht="24" customHeight="1">
      <x:c r="A220" s="32" t="str">
        <x:v>QUOTE-048</x:v>
      </x:c>
      <x:c r="B220" s="33" t="str">
        <x:v>견적서_48.pdf</x:v>
      </x:c>
      <x:c r="C220" s="33" t="n">
        <x:v>2</x:v>
      </x:c>
      <x:c r="D220" s="33" t="str">
        <x:v>LR2000</x:v>
      </x:c>
      <x:c r="E220" s="33" t="str">
        <x:v>시스템</x:v>
      </x:c>
      <x:c r="F220" s="33" t="str">
        <x:v>EA</x:v>
      </x:c>
      <x:c r="G220" s="39" t="n">
        <x:v>3</x:v>
      </x:c>
      <x:c r="H220" s="39" t="n">
        <x:v>5200000</x:v>
      </x:c>
      <x:c r="I220" s="39" t="n">
        <x:v>15600000</x:v>
      </x:c>
      <x:c r="J220" s="39" t="n">
        <x:f>G220*H220</x:f>
        <x:v>15600000</x:v>
      </x:c>
      <x:c r="K220" s="33" t="str">
        <x:f>IF(I220=J220,"일치","불일치")</x:f>
        <x:v>일치</x:v>
      </x:c>
      <x:c r="L220" s="33" t="str">
        <x:v>설치 대상</x:v>
      </x:c>
      <x:c r="M220" s="34" t="str">
        <x:v>p.1 품목표</x:v>
      </x:c>
    </x:row>
    <x:row r="221" ht="24" customHeight="1">
      <x:c r="A221" s="32" t="str">
        <x:v>QUOTE-048</x:v>
      </x:c>
      <x:c r="B221" s="33" t="str">
        <x:v>견적서_48.pdf</x:v>
      </x:c>
      <x:c r="C221" s="33" t="n">
        <x:v>3</x:v>
      </x:c>
      <x:c r="D221" s="33" t="str">
        <x:v>LP1500</x:v>
      </x:c>
      <x:c r="E221" s="33" t="str">
        <x:v>프로브</x:v>
      </x:c>
      <x:c r="F221" s="33" t="str">
        <x:v>EA</x:v>
      </x:c>
      <x:c r="G221" s="39" t="n">
        <x:v>9</x:v>
      </x:c>
      <x:c r="H221" s="39" t="n">
        <x:v>145000</x:v>
      </x:c>
      <x:c r="I221" s="39" t="n">
        <x:v>1305000</x:v>
      </x:c>
      <x:c r="J221" s="39" t="n">
        <x:f>G221*H221</x:f>
        <x:v>1305000</x:v>
      </x:c>
      <x:c r="K221" s="33" t="str">
        <x:f>IF(I221=J221,"일치","불일치")</x:f>
        <x:v>일치</x:v>
      </x:c>
      <x:c r="L221" s="33" t="str">
        <x:v>현장 사용</x:v>
      </x:c>
      <x:c r="M221" s="34" t="str">
        <x:v>p.1 품목표</x:v>
      </x:c>
    </x:row>
    <x:row r="222" ht="24" customHeight="1">
      <x:c r="A222" s="32" t="str">
        <x:v>QUOTE-048</x:v>
      </x:c>
      <x:c r="B222" s="33" t="str">
        <x:v>견적서_48.pdf</x:v>
      </x:c>
      <x:c r="C222" s="33" t="n">
        <x:v>4</x:v>
      </x:c>
      <x:c r="D222" s="33" t="str">
        <x:v>LP100</x:v>
      </x:c>
      <x:c r="E222" s="33" t="str">
        <x:v>부품</x:v>
      </x:c>
      <x:c r="F222" s="33" t="str">
        <x:v>EA</x:v>
      </x:c>
      <x:c r="G222" s="39" t="n">
        <x:v>7</x:v>
      </x:c>
      <x:c r="H222" s="39" t="n">
        <x:v>180000</x:v>
      </x:c>
      <x:c r="I222" s="39" t="n">
        <x:v>1260000</x:v>
      </x:c>
      <x:c r="J222" s="39" t="n">
        <x:f>G222*H222</x:f>
        <x:v>1260000</x:v>
      </x:c>
      <x:c r="K222" s="33" t="str">
        <x:f>IF(I222=J222,"일치","불일치")</x:f>
        <x:v>일치</x:v>
      </x:c>
      <x:c r="L222" s="33" t="str">
        <x:v>교체용</x:v>
      </x:c>
      <x:c r="M222" s="34" t="str">
        <x:v>p.1 품목표</x:v>
      </x:c>
    </x:row>
    <x:row r="223" ht="24" customHeight="1">
      <x:c r="A223" s="32" t="str">
        <x:v>QUOTE-048</x:v>
      </x:c>
      <x:c r="B223" s="33" t="str">
        <x:v>견적서_48.pdf</x:v>
      </x:c>
      <x:c r="C223" s="33" t="n">
        <x:v>5</x:v>
      </x:c>
      <x:c r="D223" s="33" t="str">
        <x:v>LP2000</x:v>
      </x:c>
      <x:c r="E223" s="33" t="str">
        <x:v>프로브</x:v>
      </x:c>
      <x:c r="F223" s="33" t="str">
        <x:v>EA</x:v>
      </x:c>
      <x:c r="G223" s="39" t="n">
        <x:v>10</x:v>
      </x:c>
      <x:c r="H223" s="39" t="n">
        <x:v>175000</x:v>
      </x:c>
      <x:c r="I223" s="39" t="n">
        <x:v>1750000</x:v>
      </x:c>
      <x:c r="J223" s="39" t="n">
        <x:f>G223*H223</x:f>
        <x:v>1750000</x:v>
      </x:c>
      <x:c r="K223" s="33" t="str">
        <x:f>IF(I223=J223,"일치","불일치")</x:f>
        <x:v>일치</x:v>
      </x:c>
      <x:c r="L223" s="33" t="str">
        <x:v>현장 사용</x:v>
      </x:c>
      <x:c r="M223" s="34" t="str">
        <x:v>p.1 품목표</x:v>
      </x:c>
    </x:row>
    <x:row r="224" ht="24" customHeight="1">
      <x:c r="A224" s="32" t="str">
        <x:v>QUOTE-049</x:v>
      </x:c>
      <x:c r="B224" s="33" t="str">
        <x:v>견적서_49.pdf</x:v>
      </x:c>
      <x:c r="C224" s="33" t="n">
        <x:v>1</x:v>
      </x:c>
      <x:c r="D224" s="33" t="str">
        <x:v>LP2000</x:v>
      </x:c>
      <x:c r="E224" s="33" t="str">
        <x:v>프로브</x:v>
      </x:c>
      <x:c r="F224" s="33" t="str">
        <x:v>EA</x:v>
      </x:c>
      <x:c r="G224" s="39" t="n">
        <x:v>8</x:v>
      </x:c>
      <x:c r="H224" s="39" t="n">
        <x:v>175000</x:v>
      </x:c>
      <x:c r="I224" s="39" t="n">
        <x:v>1400000</x:v>
      </x:c>
      <x:c r="J224" s="39" t="n">
        <x:f>G224*H224</x:f>
        <x:v>1400000</x:v>
      </x:c>
      <x:c r="K224" s="33" t="str">
        <x:f>IF(I224=J224,"일치","불일치")</x:f>
        <x:v>일치</x:v>
      </x:c>
      <x:c r="L224" s="33" t="str">
        <x:v>추가 구성</x:v>
      </x:c>
      <x:c r="M224" s="34" t="str">
        <x:v>p.1 품목표</x:v>
      </x:c>
    </x:row>
    <x:row r="225" ht="24" customHeight="1">
      <x:c r="A225" s="32" t="str">
        <x:v>QUOTE-049</x:v>
      </x:c>
      <x:c r="B225" s="33" t="str">
        <x:v>견적서_49.pdf</x:v>
      </x:c>
      <x:c r="C225" s="33" t="n">
        <x:v>2</x:v>
      </x:c>
      <x:c r="D225" s="33" t="str">
        <x:v>LR-CORE1</x:v>
      </x:c>
      <x:c r="E225" s="33" t="str">
        <x:v>액세서리</x:v>
      </x:c>
      <x:c r="F225" s="33" t="str">
        <x:v>EA</x:v>
      </x:c>
      <x:c r="G225" s="39" t="n">
        <x:v>1</x:v>
      </x:c>
      <x:c r="H225" s="39" t="n">
        <x:v>4200000</x:v>
      </x:c>
      <x:c r="I225" s="39" t="n">
        <x:v>4200000</x:v>
      </x:c>
      <x:c r="J225" s="39" t="n">
        <x:f>G225*H225</x:f>
        <x:v>4200000</x:v>
      </x:c>
      <x:c r="K225" s="33" t="str">
        <x:f>IF(I225=J225,"일치","불일치")</x:f>
        <x:v>일치</x:v>
      </x:c>
      <x:c r="L225" s="33" t="str">
        <x:v>확장 구성</x:v>
      </x:c>
      <x:c r="M225" s="34" t="str">
        <x:v>p.1 품목표</x:v>
      </x:c>
    </x:row>
    <x:row r="226" ht="24" customHeight="1">
      <x:c r="A226" s="32" t="str">
        <x:v>QUOTE-049</x:v>
      </x:c>
      <x:c r="B226" s="33" t="str">
        <x:v>견적서_49.pdf</x:v>
      </x:c>
      <x:c r="C226" s="33" t="n">
        <x:v>3</x:v>
      </x:c>
      <x:c r="D226" s="33" t="str">
        <x:v>LP200</x:v>
      </x:c>
      <x:c r="E226" s="33" t="str">
        <x:v>부품</x:v>
      </x:c>
      <x:c r="F226" s="33" t="str">
        <x:v>EA</x:v>
      </x:c>
      <x:c r="G226" s="39" t="n">
        <x:v>9</x:v>
      </x:c>
      <x:c r="H226" s="39" t="n">
        <x:v>240000</x:v>
      </x:c>
      <x:c r="I226" s="39" t="n">
        <x:v>2160000</x:v>
      </x:c>
      <x:c r="J226" s="39" t="n">
        <x:f>G226*H226</x:f>
        <x:v>2160000</x:v>
      </x:c>
      <x:c r="K226" s="33" t="str">
        <x:f>IF(I226=J226,"일치","불일치")</x:f>
        <x:v>일치</x:v>
      </x:c>
      <x:c r="L226" s="33" t="str">
        <x:v>예비 구성</x:v>
      </x:c>
      <x:c r="M226" s="34" t="str">
        <x:v>p.1 품목표</x:v>
      </x:c>
    </x:row>
    <x:row r="227" ht="24" customHeight="1">
      <x:c r="A227" s="32" t="str">
        <x:v>QUOTE-049</x:v>
      </x:c>
      <x:c r="B227" s="33" t="str">
        <x:v>견적서_49.pdf</x:v>
      </x:c>
      <x:c r="C227" s="33" t="n">
        <x:v>4</x:v>
      </x:c>
      <x:c r="D227" s="33" t="str">
        <x:v>LR2000</x:v>
      </x:c>
      <x:c r="E227" s="33" t="str">
        <x:v>시스템</x:v>
      </x:c>
      <x:c r="F227" s="33" t="str">
        <x:v>EA</x:v>
      </x:c>
      <x:c r="G227" s="39" t="n">
        <x:v>2</x:v>
      </x:c>
      <x:c r="H227" s="39" t="n">
        <x:v>5200000</x:v>
      </x:c>
      <x:c r="I227" s="39" t="n">
        <x:v>10400000</x:v>
      </x:c>
      <x:c r="J227" s="39" t="n">
        <x:f>G227*H227</x:f>
        <x:v>10400000</x:v>
      </x:c>
      <x:c r="K227" s="33" t="str">
        <x:f>IF(I227=J227,"일치","불일치")</x:f>
        <x:v>일치</x:v>
      </x:c>
      <x:c r="L227" s="33" t="str">
        <x:v>설치 대상</x:v>
      </x:c>
      <x:c r="M227" s="34" t="str">
        <x:v>p.1 품목표</x:v>
      </x:c>
    </x:row>
    <x:row r="228" ht="24" customHeight="1">
      <x:c r="A228" s="32" t="str">
        <x:v>QUOTE-049</x:v>
      </x:c>
      <x:c r="B228" s="33" t="str">
        <x:v>견적서_49.pdf</x:v>
      </x:c>
      <x:c r="C228" s="33" t="n">
        <x:v>5</x:v>
      </x:c>
      <x:c r="D228" s="33" t="str">
        <x:v>LP1000</x:v>
      </x:c>
      <x:c r="E228" s="33" t="str">
        <x:v>프로브</x:v>
      </x:c>
      <x:c r="F228" s="33" t="str">
        <x:v>EA</x:v>
      </x:c>
      <x:c r="G228" s="39" t="n">
        <x:v>12</x:v>
      </x:c>
      <x:c r="H228" s="39" t="n">
        <x:v>130000</x:v>
      </x:c>
      <x:c r="I228" s="39" t="n">
        <x:v>1560000</x:v>
      </x:c>
      <x:c r="J228" s="39" t="n">
        <x:f>G228*H228</x:f>
        <x:v>1560000</x:v>
      </x:c>
      <x:c r="K228" s="33" t="str">
        <x:f>IF(I228=J228,"일치","불일치")</x:f>
        <x:v>일치</x:v>
      </x:c>
      <x:c r="L228" s="33" t="str">
        <x:v>추가 구성</x:v>
      </x:c>
      <x:c r="M228" s="34" t="str">
        <x:v>p.1 품목표</x:v>
      </x:c>
    </x:row>
    <x:row r="229" ht="24" customHeight="1">
      <x:c r="A229" s="32" t="str">
        <x:v>QUOTE-050</x:v>
      </x:c>
      <x:c r="B229" s="33" t="str">
        <x:v>견적서_50.pdf</x:v>
      </x:c>
      <x:c r="C229" s="33" t="n">
        <x:v>1</x:v>
      </x:c>
      <x:c r="D229" s="33" t="str">
        <x:v>LR-CORE2</x:v>
      </x:c>
      <x:c r="E229" s="33" t="str">
        <x:v>액세서리</x:v>
      </x:c>
      <x:c r="F229" s="33" t="str">
        <x:v>EA</x:v>
      </x:c>
      <x:c r="G229" s="39" t="n">
        <x:v>1</x:v>
      </x:c>
      <x:c r="H229" s="39" t="n">
        <x:v>4800000</x:v>
      </x:c>
      <x:c r="I229" s="39" t="n">
        <x:v>4800000</x:v>
      </x:c>
      <x:c r="J229" s="39" t="n">
        <x:f>G229*H229</x:f>
        <x:v>4800000</x:v>
      </x:c>
      <x:c r="K229" s="33" t="str">
        <x:f>IF(I229=J229,"일치","불일치")</x:f>
        <x:v>일치</x:v>
      </x:c>
      <x:c r="L229" s="33" t="str">
        <x:v>확장 구성</x:v>
      </x:c>
      <x:c r="M229" s="34" t="str">
        <x:v>p.1 품목표</x:v>
      </x:c>
    </x:row>
    <x:row r="230" ht="24" customHeight="1">
      <x:c r="A230" s="32" t="str">
        <x:v>QUOTE-050</x:v>
      </x:c>
      <x:c r="B230" s="33" t="str">
        <x:v>견적서_50.pdf</x:v>
      </x:c>
      <x:c r="C230" s="33" t="n">
        <x:v>2</x:v>
      </x:c>
      <x:c r="D230" s="33" t="str">
        <x:v>LR2000</x:v>
      </x:c>
      <x:c r="E230" s="33" t="str">
        <x:v>시스템</x:v>
      </x:c>
      <x:c r="F230" s="33" t="str">
        <x:v>EA</x:v>
      </x:c>
      <x:c r="G230" s="39" t="n">
        <x:v>2</x:v>
      </x:c>
      <x:c r="H230" s="39" t="n">
        <x:v>5200000</x:v>
      </x:c>
      <x:c r="I230" s="39" t="n">
        <x:v>10400000</x:v>
      </x:c>
      <x:c r="J230" s="39" t="n">
        <x:f>G230*H230</x:f>
        <x:v>10400000</x:v>
      </x:c>
      <x:c r="K230" s="33" t="str">
        <x:f>IF(I230=J230,"일치","불일치")</x:f>
        <x:v>일치</x:v>
      </x:c>
      <x:c r="L230" s="33" t="str">
        <x:v>설치 대상</x:v>
      </x:c>
      <x:c r="M230" s="34" t="str">
        <x:v>p.1 품목표</x:v>
      </x:c>
    </x:row>
    <x:row r="231" ht="24" customHeight="1">
      <x:c r="A231" s="32" t="str">
        <x:v>QUOTE-050</x:v>
      </x:c>
      <x:c r="B231" s="33" t="str">
        <x:v>견적서_50.pdf</x:v>
      </x:c>
      <x:c r="C231" s="33" t="n">
        <x:v>3</x:v>
      </x:c>
      <x:c r="D231" s="33" t="str">
        <x:v>LR-CORE3</x:v>
      </x:c>
      <x:c r="E231" s="33" t="str">
        <x:v>액세서리</x:v>
      </x:c>
      <x:c r="F231" s="33" t="str">
        <x:v>EA</x:v>
      </x:c>
      <x:c r="G231" s="39" t="n">
        <x:v>2</x:v>
      </x:c>
      <x:c r="H231" s="39" t="n">
        <x:v>60000</x:v>
      </x:c>
      <x:c r="I231" s="39" t="n">
        <x:v>120000</x:v>
      </x:c>
      <x:c r="J231" s="39" t="n">
        <x:f>G231*H231</x:f>
        <x:v>120000</x:v>
      </x:c>
      <x:c r="K231" s="33" t="str">
        <x:f>IF(I231=J231,"일치","불일치")</x:f>
        <x:v>일치</x:v>
      </x:c>
      <x:c r="L231" s="33" t="str">
        <x:v>운영 보조</x:v>
      </x:c>
      <x:c r="M231" s="34" t="str">
        <x:v>p.1 품목표</x:v>
      </x:c>
    </x:row>
    <x:row r="232" ht="24" customHeight="1">
      <x:c r="A232" s="32" t="str">
        <x:v>QUOTE-050</x:v>
      </x:c>
      <x:c r="B232" s="33" t="str">
        <x:v>견적서_50.pdf</x:v>
      </x:c>
      <x:c r="C232" s="33" t="n">
        <x:v>4</x:v>
      </x:c>
      <x:c r="D232" s="33" t="str">
        <x:v>LP1500</x:v>
      </x:c>
      <x:c r="E232" s="33" t="str">
        <x:v>프로브</x:v>
      </x:c>
      <x:c r="F232" s="33" t="str">
        <x:v>EA</x:v>
      </x:c>
      <x:c r="G232" s="39" t="n">
        <x:v>18</x:v>
      </x:c>
      <x:c r="H232" s="39" t="n">
        <x:v>145000</x:v>
      </x:c>
      <x:c r="I232" s="39" t="n">
        <x:v>2610000</x:v>
      </x:c>
      <x:c r="J232" s="39" t="n">
        <x:f>G232*H232</x:f>
        <x:v>2610000</x:v>
      </x:c>
      <x:c r="K232" s="33" t="str">
        <x:f>IF(I232=J232,"일치","불일치")</x:f>
        <x:v>일치</x:v>
      </x:c>
      <x:c r="L232" s="33" t="str">
        <x:v>현장 사용</x:v>
      </x:c>
      <x:c r="M232" s="34" t="str">
        <x:v>p.1 품목표</x:v>
      </x:c>
    </x:row>
    <x:row r="233" ht="24" customHeight="1">
      <x:c r="A233" s="32" t="str">
        <x:v>QUOTE-050</x:v>
      </x:c>
      <x:c r="B233" s="33" t="str">
        <x:v>견적서_50.pdf</x:v>
      </x:c>
      <x:c r="C233" s="33" t="n">
        <x:v>5</x:v>
      </x:c>
      <x:c r="D233" s="33" t="str">
        <x:v>LP200</x:v>
      </x:c>
      <x:c r="E233" s="33" t="str">
        <x:v>부품</x:v>
      </x:c>
      <x:c r="F233" s="33" t="str">
        <x:v>EA</x:v>
      </x:c>
      <x:c r="G233" s="39" t="n">
        <x:v>2</x:v>
      </x:c>
      <x:c r="H233" s="39" t="n">
        <x:v>240000</x:v>
      </x:c>
      <x:c r="I233" s="39" t="n">
        <x:v>480000</x:v>
      </x:c>
      <x:c r="J233" s="39" t="n">
        <x:f>G233*H233</x:f>
        <x:v>480000</x:v>
      </x:c>
      <x:c r="K233" s="33" t="str">
        <x:f>IF(I233=J233,"일치","불일치")</x:f>
        <x:v>일치</x:v>
      </x:c>
      <x:c r="L233" s="33" t="str">
        <x:v>교체용</x:v>
      </x:c>
      <x:c r="M233" s="34" t="str">
        <x:v>p.1 품목표</x:v>
      </x:c>
    </x:row>
    <x:row r="234" ht="24" customHeight="1">
      <x:c r="A234" s="35" t="str">
        <x:v>QUOTE-050</x:v>
      </x:c>
      <x:c r="B234" s="36" t="str">
        <x:v>견적서_50.pdf</x:v>
      </x:c>
      <x:c r="C234" s="36" t="n">
        <x:v>6</x:v>
      </x:c>
      <x:c r="D234" s="36" t="str">
        <x:v>LR-CORE1</x:v>
      </x:c>
      <x:c r="E234" s="36" t="str">
        <x:v>액세서리</x:v>
      </x:c>
      <x:c r="F234" s="36" t="str">
        <x:v>EA</x:v>
      </x:c>
      <x:c r="G234" s="40" t="n">
        <x:v>1</x:v>
      </x:c>
      <x:c r="H234" s="40" t="n">
        <x:v>4200000</x:v>
      </x:c>
      <x:c r="I234" s="40" t="n">
        <x:v>4200000</x:v>
      </x:c>
      <x:c r="J234" s="40" t="n">
        <x:f>G234*H234</x:f>
        <x:v>4200000</x:v>
      </x:c>
      <x:c r="K234" s="36" t="str">
        <x:f>IF(I234=J234,"일치","불일치")</x:f>
        <x:v>일치</x:v>
      </x:c>
      <x:c r="L234" s="36" t="str">
        <x:v>확장 구성</x:v>
      </x:c>
      <x:c r="M234" s="37" t="str">
        <x:v>p.1 품목표</x:v>
      </x:c>
    </x:row>
  </x:sheetData>
  <x:conditionalFormatting sqref="K5:K234">
    <x:cfRule type="containsText" dxfId="1" priority="1" operator="containsText" text="불일치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48" hidden="0" customWidth="1"/>
    <x:col min="3" max="3" width="14" hidden="0" customWidth="1"/>
    <x:col min="4" max="4" width="42" hidden="0" customWidth="1"/>
  </x:cols>
  <x:sheetData>
    <x:row r="1" ht="24" customHeight="1">
      <x:c r="A1" s="3" t="str">
        <x:v>정답 필드 기준</x:v>
      </x:c>
      <x:c r="B1" s="3"/>
      <x:c r="C1" s="3"/>
      <x:c r="D1" s="3"/>
    </x:row>
    <x:row r="2" ht="24" customHeight="1">
      <x:c r="A2" s="4" t="str">
        <x:v>원문에 없는 값은 빈칸으로 유지하고, 직접 확인값·추론값·미확인값을 구분</x:v>
      </x:c>
      <x:c r="B2" s="4"/>
      <x:c r="C2" s="4"/>
      <x:c r="D2" s="4"/>
    </x:row>
    <x:row r="3">
      <x:c r="A3" s="2"/>
      <x:c r="B3" s="2"/>
      <x:c r="C3" s="2"/>
      <x:c r="D3" s="2"/>
    </x:row>
    <x:row r="4" ht="30" customHeight="1">
      <x:c r="A4" s="18" t="str">
        <x:v>필드</x:v>
      </x:c>
      <x:c r="B4" s="19" t="str">
        <x:v>처리 기준</x:v>
      </x:c>
      <x:c r="C4" s="19" t="str">
        <x:v>근거 등급</x:v>
      </x:c>
      <x:c r="D4" s="20" t="str">
        <x:v>비고</x:v>
      </x:c>
    </x:row>
    <x:row r="5" ht="34" customHeight="1">
      <x:c r="A5" s="29" t="str">
        <x:v>문서 ID</x:v>
      </x:c>
      <x:c r="B5" s="30" t="str">
        <x:v>QUOTE-001~QUOTE-050 내부 식별자</x:v>
      </x:c>
      <x:c r="C5" s="50" t="str">
        <x:v>[추론]</x:v>
      </x:c>
      <x:c r="D5" s="31" t="str">
        <x:v>파일 순번을 기준으로 부여</x:v>
      </x:c>
    </x:row>
    <x:row r="6" ht="34" customHeight="1">
      <x:c r="A6" s="32" t="str">
        <x:v>파일명</x:v>
      </x:c>
      <x:c r="B6" s="33" t="str">
        <x:v>견적서_1.pdf~견적서_50.pdf</x:v>
      </x:c>
      <x:c r="C6" s="51" t="str">
        <x:v>[검증]</x:v>
      </x:c>
      <x:c r="D6" s="34" t="str">
        <x:v>대상 PDF 파일명</x:v>
      </x:c>
    </x:row>
    <x:row r="7" ht="34" customHeight="1">
      <x:c r="A7" s="32" t="str">
        <x:v>원본 형식·페이지 수</x:v>
      </x:c>
      <x:c r="B7" s="33" t="str">
        <x:v>PDF·1페이지</x:v>
      </x:c>
      <x:c r="C7" s="51" t="str">
        <x:v>[검증]</x:v>
      </x:c>
      <x:c r="D7" s="34" t="str">
        <x:v>PDF 메타데이터 확인</x:v>
      </x:c>
    </x:row>
    <x:row r="8" ht="34" customHeight="1">
      <x:c r="A8" s="32" t="str">
        <x:v>문서명·문서 유형</x:v>
      </x:c>
      <x:c r="B8" s="33" t="str">
        <x:v>견적서</x:v>
      </x:c>
      <x:c r="C8" s="51" t="str">
        <x:v>[검증]</x:v>
      </x:c>
      <x:c r="D8" s="34" t="str">
        <x:v>파일 및 본문 제목 기준</x:v>
      </x:c>
    </x:row>
    <x:row r="9" ht="34" customHeight="1">
      <x:c r="A9" s="32" t="str">
        <x:v>고객사명</x:v>
      </x:c>
      <x:c r="B9" s="33" t="str">
        <x:v>각 PDF 첫 행의 귀하 앞 텍스트</x:v>
      </x:c>
      <x:c r="C9" s="51" t="str">
        <x:v>[검증]</x:v>
      </x:c>
      <x:c r="D9" s="34" t="str">
        <x:v>문서별 원문 직접 확인</x:v>
      </x:c>
    </x:row>
    <x:row r="10" ht="34" customHeight="1">
      <x:c r="A10" s="32" t="str">
        <x:v>견적일자·유효기간·견적번호</x:v>
      </x:c>
      <x:c r="B10" s="33" t="str">
        <x:v>문서 상단 표기값</x:v>
      </x:c>
      <x:c r="C10" s="51" t="str">
        <x:v>[검증]</x:v>
      </x:c>
      <x:c r="D10" s="34" t="str">
        <x:v>문서별 원문 직접 확인</x:v>
      </x:c>
    </x:row>
    <x:row r="11" ht="34" customHeight="1">
      <x:c r="A11" s="32" t="str">
        <x:v>통화</x:v>
      </x:c>
      <x:c r="B11" s="33" t="str">
        <x:v>KRW</x:v>
      </x:c>
      <x:c r="C11" s="51" t="str">
        <x:v>[검증]</x:v>
      </x:c>
      <x:c r="D11" s="34" t="str">
        <x:v>원문에 원·₩ 표기</x:v>
      </x:c>
    </x:row>
    <x:row r="12" ht="34" customHeight="1">
      <x:c r="A12" s="32" t="str">
        <x:v>총액(VAT 포함)</x:v>
      </x:c>
      <x:c r="B12" s="33" t="str">
        <x:v>견적합계의 숫자값</x:v>
      </x:c>
      <x:c r="C12" s="51" t="str">
        <x:v>[검증]</x:v>
      </x:c>
      <x:c r="D12" s="34" t="str">
        <x:v>부가세 포함 표기</x:v>
      </x:c>
    </x:row>
    <x:row r="13" ht="34" customHeight="1">
      <x:c r="A13" s="32" t="str">
        <x:v>공급가액·부가세</x:v>
      </x:c>
      <x:c r="B13" s="33" t="str">
        <x:v>공란</x:v>
      </x:c>
      <x:c r="C13" s="51" t="str">
        <x:v>[미확인]</x:v>
      </x:c>
      <x:c r="D13" s="34" t="str">
        <x:v>원문에 별도 금액이 표기되지 않음</x:v>
      </x:c>
    </x:row>
    <x:row r="14" ht="34" customHeight="1">
      <x:c r="A14" s="32" t="str">
        <x:v>담당자·공급자</x:v>
      </x:c>
      <x:c r="B14" s="33" t="str">
        <x:v>공란</x:v>
      </x:c>
      <x:c r="C14" s="51" t="str">
        <x:v>[미확인]</x:v>
      </x:c>
      <x:c r="D14" s="34" t="str">
        <x:v>원문에 해당 당사자 정보가 표기되지 않음</x:v>
      </x:c>
    </x:row>
    <x:row r="15" ht="34" customHeight="1">
      <x:c r="A15" s="32" t="str">
        <x:v>납기/납품·지급·유지보수 조건</x:v>
      </x:c>
      <x:c r="B15" s="33" t="str">
        <x:v>공란</x:v>
      </x:c>
      <x:c r="C15" s="51" t="str">
        <x:v>[미확인]</x:v>
      </x:c>
      <x:c r="D15" s="34" t="str">
        <x:v>유효기간 외 조건은 원문에 표기되지 않음</x:v>
      </x:c>
    </x:row>
    <x:row r="16" ht="34" customHeight="1">
      <x:c r="A16" s="32" t="str">
        <x:v>품목 정답</x:v>
      </x:c>
      <x:c r="B16" s="33" t="str">
        <x:v>품명·규격·단위·수량·단가·금액·비고</x:v>
      </x:c>
      <x:c r="C16" s="51" t="str">
        <x:v>[검증]</x:v>
      </x:c>
      <x:c r="D16" s="34" t="str">
        <x:v>p.1 품목표 직접 확인</x:v>
      </x:c>
    </x:row>
    <x:row r="17" ht="34" customHeight="1">
      <x:c r="A17" s="32" t="str">
        <x:v>정답 요약</x:v>
      </x:c>
      <x:c r="B17" s="33" t="str">
        <x:v>고객사·레이저장비·일자·총액·품목행 조합</x:v>
      </x:c>
      <x:c r="C17" s="51" t="str">
        <x:v>[추론]</x:v>
      </x:c>
      <x:c r="D17" s="34" t="str">
        <x:v>전제: 같은 PDF의 직접 확인값만 사용</x:v>
      </x:c>
    </x:row>
    <x:row r="18" ht="34" customHeight="1">
      <x:c r="A18" s="35" t="str">
        <x:v>검산</x:v>
      </x:c>
      <x:c r="B18" s="36" t="str">
        <x:v>품목 금액 합계 = 총액; 수량×단가 = 금액</x:v>
      </x:c>
      <x:c r="C18" s="52" t="str">
        <x:v>[검증]</x:v>
      </x:c>
      <x:c r="D18" s="37" t="str">
        <x:v>Excel 수식으로 재검산</x:v>
      </x:c>
    </x:row>
  </x:sheetData>
  <x:pageMargins left="0.7" right="0.7" top="0.75" bottom="0.75" header="0.3" footer="0.3"/>
</x:worksheet>
</file>